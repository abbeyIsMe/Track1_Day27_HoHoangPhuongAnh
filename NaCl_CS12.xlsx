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Hướng dẫn" sheetId="1" r:id="rId5"/>
    <sheet state="visible" name="0_Tình huống" sheetId="2" r:id="rId6"/>
    <sheet state="visible" name="Bài 1" sheetId="3" r:id="rId7"/>
    <sheet state="visible" name="Bài 2" sheetId="4" r:id="rId8"/>
    <sheet state="visible" name="Bài 3" sheetId="5" r:id="rId9"/>
    <sheet state="visible" name="Bài 4" sheetId="6" r:id="rId10"/>
    <sheet state="visible" name="Bài 5" sheetId="7" r:id="rId11"/>
    <sheet state="visible" name="Xưởng" sheetId="8" r:id="rId12"/>
    <sheet state="visible" name="Thang điểm" sheetId="9" r:id="rId13"/>
    <sheet state="visible" name="Tổng hợp" sheetId="10" r:id="rId14"/>
    <sheet state="hidden" name="_ds" sheetId="11" r:id="rId15"/>
  </sheets>
  <definedNames/>
  <calcPr/>
</workbook>
</file>

<file path=xl/sharedStrings.xml><?xml version="1.0" encoding="utf-8"?>
<sst xmlns="http://schemas.openxmlformats.org/spreadsheetml/2006/main" count="989" uniqueCount="655">
  <si>
    <t>CS12 · Đánh giá sản phẩm AI · Bài tập buổi sáng 16/10/2026</t>
  </si>
  <si>
    <t>Bài 1 · Đọc báo cáo đánh giá và thu hẹp phạm vi (10 phút) · sau Phần 01 · trang 13–23</t>
  </si>
  <si>
    <t>Hồ sơ tình huống · Trợ lý đổi trả của Mộc Store (giả định)</t>
  </si>
  <si>
    <t>Mộc Store là cửa hàng thời trang bán online (áo, quần, giày) qua website và Zalo. Tình huống giả định, dùng cho toàn bộ buổi sáng.</t>
  </si>
  <si>
    <t>AI in Action · Track 1 · Khóa 4. Bài tập đi kèm bộ slide "AI Evaluation" của chị Mai Anh Nguyen (66 trang). Slide của chị Mai Anh giữ nguyên; file này là phần thực hành.</t>
  </si>
  <si>
    <t>Làm cá nhân, không tính điểm. Điền ô vàng ở cột C; cột D tự báo kết quả.</t>
  </si>
  <si>
    <t>Trợ lý AI "Mộc" trả lời tin nhắn về đổi hàng, trả hàng và tình trạng đơn. Khoảng 300 tin nhắn loại này mỗi ngày.</t>
  </si>
  <si>
    <t>Nhóm vừa đổi câu lệnh của trợ lý Mộc (v1.3 → v1.4) và chạy lại trên bộ đề chuẩn 50 tin nhắn đã có nhãn đúng.</t>
  </si>
  <si>
    <t>Luật chơi: CHỈ điền vào ô màu VÀNG. Ô màu XANH LÁ NHẠT tự tính và đã khoá. Cột "Kiểm tra" báo Đúng hoặc Chưa đúng ngay khi điền.</t>
  </si>
  <si>
    <t>Chuyên gia: chị Ngân, trưởng nhóm chăm sóc khách hàng, 6 năm kinh nghiệm. Chị là người định nghĩa thế nào là "đạt".</t>
  </si>
  <si>
    <t>Cổng chất lượng chốt trước khi chạy: tỷ lệ đúng tổng từ 82% trở lên.</t>
  </si>
  <si>
    <t>Có 3 tin "hồi quy" (v1.3 đúng, v1.4 sai), cả 3 nằm ở nhóm Tra cứu đơn.</t>
  </si>
  <si>
    <t>Chính sách đổi trả</t>
  </si>
  <si>
    <t>Bài 1–5 (10–12 phút mỗi bài, sau mỗi phần trình chiếu): làm CÁ NHÂN, không tính điểm, để tự biết mình đã hiểu chưa. Chưa đúng: đọc lại trang slide ghi ở cột "Trang", sửa, rồi hỏi trong khung chat.</t>
  </si>
  <si>
    <t>Xưởng (50 phút, cuối buổi): làm THEO NHÓM 4–6 người trong phòng nhóm. Có chấm điểm theo trang "Thang điểm". Mỗi nhóm nộp 1 file.</t>
  </si>
  <si>
    <t>Nhóm ý định</t>
  </si>
  <si>
    <t>Mã</t>
  </si>
  <si>
    <t>Mọi bài dùng chung một tình huống giả định: trợ lý đổi trả của cửa hàng Mộc Store. Đọc trang "0_Tình huống" trước Bài 1 (3 phút).</t>
  </si>
  <si>
    <t>Tên file nộp: NaCl_CS12.xlsx · Nộp lên VLearn trước 13:00 ngày 16/10. Chỉ cần trang Xưởng đã điền; Bài 1–5 điền hay không đều được.</t>
  </si>
  <si>
    <t>Bài 2 · Phủ ca và chọn tình huống (12 phút) · sau Phần 02 · trang 24–30</t>
  </si>
  <si>
    <t>Tỷ lệ gõ kèm dấu % (ví dụ 84%). Số thập phân dùng dấu phẩy hay dấu chấm tùy máy; nếu ô báo "Gõ một số" thì đổi dấu.</t>
  </si>
  <si>
    <t>Nội dung</t>
  </si>
  <si>
    <t>Đáp án và giải thích: giảng viên chiếu ngay sau mỗi bài; bản đáp án đầy đủ gửi sau buổi học.</t>
  </si>
  <si>
    <t>Quy định</t>
  </si>
  <si>
    <t>Lịch buổi sáng 16/10 (trực tuyến)</t>
  </si>
  <si>
    <t>Phép thử chiều (trang 26): đổi giá trị của một thuộc tính trong tin nhắn → hành vi đúng của trợ lý có đổi không?</t>
  </si>
  <si>
    <t>CS-1</t>
  </si>
  <si>
    <t>Số tin trong bộ đề</t>
  </si>
  <si>
    <t>Có đổi → là một chiều của lưới. Không đổi → chỉ là cách diễn đạt, để AI viết lại, không tốn một chiều.</t>
  </si>
  <si>
    <t>Giờ</t>
  </si>
  <si>
    <t>Đổi size hoặc màu</t>
  </si>
  <si>
    <t>v1.3 đúng (bản đang chạy)</t>
  </si>
  <si>
    <t>v1.4 đúng (bản mới)</t>
  </si>
  <si>
    <t>Hoạt động</t>
  </si>
  <si>
    <t>Trong 7 ngày kể từ ngày nhận hàng, hàng còn tem mác. Miễn phí đổi lần đầu.</t>
  </si>
  <si>
    <t>Câu 2.14: A. Nhờ AI tạo 50 câu kiểm thử là đủ phủ.  ·  B. Người chọn ô cần thử trên lưới; AI chỉ viết thêm cách diễn đạt cho từng ô.  ·  C. Càng nhiều dòng thì bộ đề càng phủ tốt.</t>
  </si>
  <si>
    <t>CS-2</t>
  </si>
  <si>
    <t>Đổi hàng</t>
  </si>
  <si>
    <t>Trả hàng, hoàn tiền</t>
  </si>
  <si>
    <t>Thời lượng</t>
  </si>
  <si>
    <t>Trong 7 ngày kể từ ngày nhận hàng. Tiền hoàn trong 3–5 ngày làm việc sau khi kho nhận lại hàng.</t>
  </si>
  <si>
    <t>CS-3</t>
  </si>
  <si>
    <t>Hàng lỗi (bong keo, rách, sai mẫu)</t>
  </si>
  <si>
    <t>Trong 30 ngày kể từ ngày nhận hàng. Trợ lý chuyển nhân viên xử lý, không tự hứa đền bù.</t>
  </si>
  <si>
    <t>09:00–09:05</t>
  </si>
  <si>
    <t>CS-4</t>
  </si>
  <si>
    <t>Tra cứu trước khi hứa</t>
  </si>
  <si>
    <t>Mở đầu</t>
  </si>
  <si>
    <t>Trước khi xác nhận đổi, trả hay hoàn tiền: phải tra cứu đơn (ngày nhận, trạng thái).</t>
  </si>
  <si>
    <t>Chào lớp; giới thiệu tình huống Mộc Store (slide bài tập 1–9); trợ giảng gửi đường dẫn tài liệu</t>
  </si>
  <si>
    <t>Câu</t>
  </si>
  <si>
    <t>CS-5</t>
  </si>
  <si>
    <t>Thiếu mã đơn</t>
  </si>
  <si>
    <t>Hỏi mã đơn hoặc số điện thoại đặt hàng. Không đoán đơn.</t>
  </si>
  <si>
    <t>Đề</t>
  </si>
  <si>
    <t>09:05–09:20</t>
  </si>
  <si>
    <t>Trả hàng</t>
  </si>
  <si>
    <t>CS-6</t>
  </si>
  <si>
    <t>Trình chiếu</t>
  </si>
  <si>
    <t>Khách muốn gặp người</t>
  </si>
  <si>
    <t>Khách yêu cầu gặp nhân viên, hoặc khiếu nại hàng lỗi: chuyển nhân viên.</t>
  </si>
  <si>
    <t>Trang 1–12: khoảng trống đánh giá, tình huống Notion AI</t>
  </si>
  <si>
    <t>Trả lời</t>
  </si>
  <si>
    <t>09:20–09:40</t>
  </si>
  <si>
    <t>Kiểm tra</t>
  </si>
  <si>
    <t>Phần 01 · trang 13–23: vòng đời đánh giá, báo cáo, tài liệu yêu cầu</t>
  </si>
  <si>
    <t>Trang</t>
  </si>
  <si>
    <t>4 nhãn ý định (giống trang 16): Đổi hàng · Trả hàng · Tra cứu đơn · Cần làm rõ</t>
  </si>
  <si>
    <t>09:40–09:50</t>
  </si>
  <si>
    <t>Tin khiếu nại hàng lỗi gắn nhãn Trả hàng kèm cờ "hàng lỗi: có". Tin không rõ đơn nào hoặc không rõ muốn gì gắn nhãn Cần làm rõ.</t>
  </si>
  <si>
    <t>2.1</t>
  </si>
  <si>
    <t>Bài 1</t>
  </si>
  <si>
    <t>Đọc báo cáo đánh giá và thu hẹp phạm vi</t>
  </si>
  <si>
    <t>Công cụ trợ lý gọi được</t>
  </si>
  <si>
    <t>10 phút</t>
  </si>
  <si>
    <t>Khách viết có dấu hay không dấu. Đây có phải một chiều?  (chọn: Có / Không)</t>
  </si>
  <si>
    <t>Công cụ</t>
  </si>
  <si>
    <t>09:50–10:05</t>
  </si>
  <si>
    <t>Làm gì</t>
  </si>
  <si>
    <t>1</t>
  </si>
  <si>
    <t>Phần 02 · trang 24–30: phủ ca, lưới đầu vào, ngân hàng tình huống</t>
  </si>
  <si>
    <t>tra_cuu_don</t>
  </si>
  <si>
    <t>tra đơn theo mã đơn hoặc số điện thoại; trả về ngày nhận hàng và trạng thái</t>
  </si>
  <si>
    <t>10:05–10:17</t>
  </si>
  <si>
    <t>2</t>
  </si>
  <si>
    <t>Bài 2</t>
  </si>
  <si>
    <t>Tra cứu đơn</t>
  </si>
  <si>
    <t>tao_yeu_cau_doi_tra</t>
  </si>
  <si>
    <t>Phủ ca và chọn tình huống</t>
  </si>
  <si>
    <t>tạo yêu cầu đổi hoặc trả cho một mã đơn</t>
  </si>
  <si>
    <t>12 phút</t>
  </si>
  <si>
    <t>10:17–10:27</t>
  </si>
  <si>
    <t>3</t>
  </si>
  <si>
    <t>Nghỉ</t>
  </si>
  <si>
    <t>chuyen_nhan_vien</t>
  </si>
  <si>
    <t>Nghỉ 10 phút</t>
  </si>
  <si>
    <t>chuyển cuộc trò chuyện cho nhân viên, kèm lý do</t>
  </si>
  <si>
    <t>10:27–10:40</t>
  </si>
  <si>
    <t>Không</t>
  </si>
  <si>
    <t>Phần 03 · trang 31–36: đọc vết thực thi, mã lỗi</t>
  </si>
  <si>
    <t>Chưa có công cụ tra tồn kho (dùng ở Bài 4).</t>
  </si>
  <si>
    <t>Tổng</t>
  </si>
  <si>
    <t>10:40–10:50</t>
  </si>
  <si>
    <t>Bài 3</t>
  </si>
  <si>
    <t>Đọc vết thực thi, tìm bước sai đầu tiên</t>
  </si>
  <si>
    <t>Mã lỗi dùng ở Bài 3 và Xưởng (trang 35)</t>
  </si>
  <si>
    <t>10:50–11:12</t>
  </si>
  <si>
    <t>Mã lỗi</t>
  </si>
  <si>
    <t>Phần 04–05 · trang 37–50: chấm tự động, chấm bằng mã lệnh</t>
  </si>
  <si>
    <t>Nghĩa</t>
  </si>
  <si>
    <t>11:12–11:22</t>
  </si>
  <si>
    <t>wrong_intent</t>
  </si>
  <si>
    <t>Bài 4</t>
  </si>
  <si>
    <t>Hiểu sai nhu cầu chính của khách</t>
  </si>
  <si>
    <t>Chọn cách chấm và ra kết luận</t>
  </si>
  <si>
    <t>missing_lookup</t>
  </si>
  <si>
    <t>Không tra cứu dữ liệu trước khi trả lời</t>
  </si>
  <si>
    <t>Câu 1.6: A. Phát hành ngay: tổng tăng 4 điểm và đã qua cổng.  ·  B. Chưa phát hành: mở đọc 3 tin hồi quy ở nhóm Tra cứu đơn, hiểu vì sao sai rồi mới quyết định.  ·  C. Quay về v1.3: tổng chỉ tăng 2 tin, chắc chắn là nhiễu.</t>
  </si>
  <si>
    <t>11:22–11:32</t>
  </si>
  <si>
    <t>premature_commit</t>
  </si>
  <si>
    <t>Hứa kết quả khi chưa đủ điều kiện</t>
  </si>
  <si>
    <t>4</t>
  </si>
  <si>
    <t>Câu 1.8: A. Làm khách hài lòng hơn mỗi khi đổi trả.  ·  B. Đọc 1 tin nhắn đổi trả → gắn đúng 1 trong 4 nhãn ý định, dưới 2 giây.  ·  C. Trả lời mọi câu hỏi của khách về đơn hàng và chính sách.</t>
  </si>
  <si>
    <t>11:32–11:48</t>
  </si>
  <si>
    <t>missing_escalation</t>
  </si>
  <si>
    <t>Không chuyển nhân viên khi vượt thẩm quyền</t>
  </si>
  <si>
    <t>Phần 06 · trang 51–59: hiệu chỉnh giám khảo AI</t>
  </si>
  <si>
    <t>Câu 1.9: Trục 1. Tách theo việc  ·  Trục 2. Tách theo điều kiện đầu vào  ·  Trục 3. Tách theo mức tự chủ</t>
  </si>
  <si>
    <t>5</t>
  </si>
  <si>
    <t>no_next_step</t>
  </si>
  <si>
    <t>Đúng chính sách nhưng thiếu bước tiếp theo</t>
  </si>
  <si>
    <t>11:48–11:58</t>
  </si>
  <si>
    <t>Bảng đối chiếu từ ngữ: slide của chị Mai Anh ↔ bài tập</t>
  </si>
  <si>
    <t>Bài 5</t>
  </si>
  <si>
    <t>Hiệu chỉnh giám khảo AI</t>
  </si>
  <si>
    <t>Trên slide</t>
  </si>
  <si>
    <t>Trong bài tập</t>
  </si>
  <si>
    <t>11:58–12:06</t>
  </si>
  <si>
    <t>eval, evals</t>
  </si>
  <si>
    <t>bài đánh giá</t>
  </si>
  <si>
    <t>Phần 07 · trang 60–66: đưa chuyên gia vào vòng lặp, tổng kết</t>
  </si>
  <si>
    <t>1.1</t>
  </si>
  <si>
    <t>reference dataset, dataset</t>
  </si>
  <si>
    <t>12:06–12:56</t>
  </si>
  <si>
    <t>bộ đề chuẩn, bộ đề</t>
  </si>
  <si>
    <t>Trên bộ 50 tin, 1 tin đổi kết quả làm tỷ lệ đúng thay đổi bao nhiêu điểm phần trăm? (gõ một số)</t>
  </si>
  <si>
    <t>Xưởng</t>
  </si>
  <si>
    <t>golden outputs</t>
  </si>
  <si>
    <t>Hướng dẫn 4 phút; làm trong phòng nhóm 12:10–12:53; soát và nộp 12:53–12:56 (nhóm 4–6 người, có chấm điểm)</t>
  </si>
  <si>
    <t>đáp án mẫu</t>
  </si>
  <si>
    <t>50 phút</t>
  </si>
  <si>
    <t>baseline · candidate</t>
  </si>
  <si>
    <t>12:56–13:00</t>
  </si>
  <si>
    <t>bản đang chạy · bản mới</t>
  </si>
  <si>
    <t>Nộp bài</t>
  </si>
  <si>
    <t>Nộp file lên VLearn, kết thúc buổi sáng</t>
  </si>
  <si>
    <t>pass rate</t>
  </si>
  <si>
    <t>tỷ lệ đạt</t>
  </si>
  <si>
    <t>6</t>
  </si>
  <si>
    <t>quality gate, threshold</t>
  </si>
  <si>
    <t>cổng chất lượng, ngưỡng</t>
  </si>
  <si>
    <t>7</t>
  </si>
  <si>
    <t>regression</t>
  </si>
  <si>
    <t>hồi quy: ca trước đạt, nay trượt</t>
  </si>
  <si>
    <t>8</t>
  </si>
  <si>
    <t>slice</t>
  </si>
  <si>
    <t>nhóm (cắt theo một thuộc tính)</t>
  </si>
  <si>
    <t>9</t>
  </si>
  <si>
    <t>unit of AI work</t>
  </si>
  <si>
    <t>đơn vị công việc AI</t>
  </si>
  <si>
    <t>10</t>
  </si>
  <si>
    <t>dimension</t>
  </si>
  <si>
    <t>chiều</t>
  </si>
  <si>
    <t>11</t>
  </si>
  <si>
    <t>User Input Grid</t>
  </si>
  <si>
    <t>lưới đầu vào</t>
  </si>
  <si>
    <t>12</t>
  </si>
  <si>
    <t>representative · challenge · critical regression</t>
  </si>
  <si>
    <t>26</t>
  </si>
  <si>
    <t>đại diện · thử thách · hồi quy nghiêm trọng</t>
  </si>
  <si>
    <t>13</t>
  </si>
  <si>
    <t>trace · transcript</t>
  </si>
  <si>
    <t>vết thực thi · lời trợ lý nói</t>
  </si>
  <si>
    <t>2.2</t>
  </si>
  <si>
    <t>14</t>
  </si>
  <si>
    <t>trace codes</t>
  </si>
  <si>
    <t>Tin nhắn có mã đơn hay không có mã đơn. Đây có phải một chiều?  (chọn: Có / Không)</t>
  </si>
  <si>
    <t>mã lỗi (giữ nguyên tên như trang 35)</t>
  </si>
  <si>
    <t>15</t>
  </si>
  <si>
    <t>specification gap · architectural issue · generalization gap</t>
  </si>
  <si>
    <t>thiếu đặc tả · thiếu năng lực hệ thống · thiếu nhất quán</t>
  </si>
  <si>
    <t>Có</t>
  </si>
  <si>
    <t>16</t>
  </si>
  <si>
    <t>code-based eval</t>
  </si>
  <si>
    <t>chấm bằng mã lệnh</t>
  </si>
  <si>
    <t>17</t>
  </si>
  <si>
    <t>LLM judge, LLM-as-judge</t>
  </si>
  <si>
    <t>giám khảo AI</t>
  </si>
  <si>
    <t>18</t>
  </si>
  <si>
    <t>referent</t>
  </si>
  <si>
    <t>căn cứ kiểm chứng</t>
  </si>
  <si>
    <t>19</t>
  </si>
  <si>
    <t>calibration</t>
  </si>
  <si>
    <t>hiệu chỉnh</t>
  </si>
  <si>
    <t>20</t>
  </si>
  <si>
    <t>TPR</t>
  </si>
  <si>
    <t>tỷ lệ nhận đúng ca đạt</t>
  </si>
  <si>
    <t>21</t>
  </si>
  <si>
    <t>TNR</t>
  </si>
  <si>
    <t>tỷ lệ bắt đúng ca trượt</t>
  </si>
  <si>
    <t>22</t>
  </si>
  <si>
    <t>2.3</t>
  </si>
  <si>
    <t>near-miss example</t>
  </si>
  <si>
    <t>ví dụ sát ranh</t>
  </si>
  <si>
    <t>Khách nói lịch sự hay cộc lốc. Đây có phải một chiều?  (chọn: Có / Không)</t>
  </si>
  <si>
    <t>23</t>
  </si>
  <si>
    <t>dev set · test set</t>
  </si>
  <si>
    <t>tập hiệu chỉnh · tập kiểm tra giữ riêng</t>
  </si>
  <si>
    <t>24</t>
  </si>
  <si>
    <t>Ship · Iterate · Revert</t>
  </si>
  <si>
    <t>Phát hành · Lặp tiếp · Quay về bản cũ</t>
  </si>
  <si>
    <t>25</t>
  </si>
  <si>
    <t>prompt · tool call · latency</t>
  </si>
  <si>
    <t>câu lệnh · lời gọi công cụ · thời gian phản hồi</t>
  </si>
  <si>
    <t>expert in the loop</t>
  </si>
  <si>
    <t>đưa chuyên gia vào vòng lặp</t>
  </si>
  <si>
    <t>2.4</t>
  </si>
  <si>
    <t>Đơn còn trong 7 ngày, đã quá 7 ngày, hay là hàng lỗi trong 30 ngày. Đây có phải một chiều?  (chọn: Có / Không)</t>
  </si>
  <si>
    <t>1.2</t>
  </si>
  <si>
    <t>Tỷ lệ đúng tổng của v1.4 là bao nhiêu? (gõ kèm %)</t>
  </si>
  <si>
    <t>2.5</t>
  </si>
  <si>
    <t>Tin nhắn có 1 ý hay 2 ý (một đơn muốn đổi, một đơn muốn trả). Đây có phải một chiều?  (chọn: Có / Không)</t>
  </si>
  <si>
    <t>2.6</t>
  </si>
  <si>
    <t>Tin nhắn dài hay ngắn (cùng nội dung). Đây có phải một chiều?  (chọn: Có / Không)</t>
  </si>
  <si>
    <t>2.7</t>
  </si>
  <si>
    <t>Nhóm chọn 3 chiều: Ý định (4 giá trị) × Độ đủ thông tin (3 giá trị: đủ, thiếu mã đơn, mơ hồ) × Tình trạng đơn (3 giá trị: trong hạn, quá hạn, hàng lỗi). Có bao nhiêu tổ hợp?</t>
  </si>
  <si>
    <t>29</t>
  </si>
  <si>
    <t>2.8</t>
  </si>
  <si>
    <t>Nhóm loại 12 tổ hợp phi lý. Còn lại bao nhiêu tổ hợp?</t>
  </si>
  <si>
    <t>1.3</t>
  </si>
  <si>
    <t>v1.4 có qua cổng chất lượng (≥ 82%) không?  (chọn: Có / Không)</t>
  </si>
  <si>
    <t>2.9</t>
  </si>
  <si>
    <t>Từ 24 tổ hợp, nhóm chọn 16 tình huống đáng thử; mỗi tình huống viết 3 cách diễn đạt. Bộ đề có bao nhiêu đầu vào?</t>
  </si>
  <si>
    <t>1.4</t>
  </si>
  <si>
    <t>Tỷ lệ đúng của nhóm Tra cứu đơn ở v1.4 là bao nhiêu? (gõ kèm %)</t>
  </si>
  <si>
    <t>2.10</t>
  </si>
  <si>
    <t>"Mình nhận áo hôm qua, chật quá, đổi sang size L giúp mình, mã MS-1043." Loại tình huống?  (chọn: Đại diện / Thử thách / Hồi quy nghiêm trọng)</t>
  </si>
  <si>
    <t>Đại diện</t>
  </si>
  <si>
    <t>1.5</t>
  </si>
  <si>
    <t>30</t>
  </si>
  <si>
    <t>Nhóm Tra cứu đơn tụt bao nhiêu điểm phần trăm? (gõ một số)</t>
  </si>
  <si>
    <t>2.11</t>
  </si>
  <si>
    <t>"Cái đơn hôm bữa ấy, thôi giờ mình không lấy nữa được không?" Loại tình huống?  (chọn: Đại diện / Thử thách / Hồi quy nghiêm trọng)</t>
  </si>
  <si>
    <t>Thử thách</t>
  </si>
  <si>
    <t>2.12</t>
  </si>
  <si>
    <t>"Mình đặt 2 đơn, đơn MS-1050 muốn trả, đơn MS-1051 muốn đổi size." Loại tình huống?  (chọn: Đại diện / Thử thách / Hồi quy nghiêm trọng)</t>
  </si>
  <si>
    <t>2.13</t>
  </si>
  <si>
    <t>"Đơn MS-0871 mình nhận 20 ngày rồi, trả lấy tiền được không?" Tuần trước trợ lý từng hứa hoàn tiền cho đúng kiểu tin này. Loại tình huống?  (chọn: Đại diện / Thử thách / Hồi quy nghiêm trọng)</t>
  </si>
  <si>
    <t>Hồi quy nghiêm trọng</t>
  </si>
  <si>
    <t>1.6</t>
  </si>
  <si>
    <t>Kết luận nào đúng?</t>
  </si>
  <si>
    <t>B</t>
  </si>
  <si>
    <t>2.14</t>
  </si>
  <si>
    <t>Câu nào đúng về việc dùng AI tạo ca kiểm thử?</t>
  </si>
  <si>
    <t>1.7</t>
  </si>
  <si>
    <t>Muốn tin một khoảng chênh 3 điểm phần trăm là thật (độ tin 95%), cần khoảng bao nhiêu ca?  (chọn: Khoảng 100 ca / Khoảng 1.000 ca / Khoảng 10.000 ca)</t>
  </si>
  <si>
    <t>Số câu đúng</t>
  </si>
  <si>
    <t>Khoảng 1.000 ca</t>
  </si>
  <si>
    <t>1.8</t>
  </si>
  <si>
    <t>Mục tiêu "Dùng AI để chăm sóc khách đổi trả tốt hơn" quá rộng. Câu nào là đơn vị công việc AI đo được?</t>
  </si>
  <si>
    <t>/ 14 câu</t>
  </si>
  <si>
    <t>1.9</t>
  </si>
  <si>
    <t>Tách "tin nhắn rõ ràng" và "tin nhắn mơ hồ" để đặt kỳ vọng khác nhau (tin mơ hồ thì hỏi lại) là thu hẹp theo trục nào?</t>
  </si>
  <si>
    <t>Trục 2</t>
  </si>
  <si>
    <t>/ 9 câu</t>
  </si>
  <si>
    <t>Bài 3 · Đọc vết thực thi, tìm bước sai đầu tiên (10 phút) · sau Phần 03 · trang 31–36</t>
  </si>
  <si>
    <t>Đọc 4 vết thực thi của trợ lý Mộc. Với mỗi vết: tìm bước sai ĐẦU TIÊN (trang 33: lỗi bắt đầu ở đâu, bước sau chỉ là hệ quả) và gắn 1 mã lỗi gốc (trang 35).</t>
  </si>
  <si>
    <t>Bài 4 · Chọn cách chấm và ra kết luận (10 phút) · sau Phần 04–05 · trang 37–50</t>
  </si>
  <si>
    <t>Đối chiếu với chính sách CS-1 đến CS-6 trong hồ sơ tình huống.</t>
  </si>
  <si>
    <t>Vết</t>
  </si>
  <si>
    <t>Bước · loại · nội dung</t>
  </si>
  <si>
    <t>Ba câu hỏi trước khi viết bài đánh giá (trang 39). Chọn bộ chấm theo căn cứ kiểm chứng (trang 40–41). Đọc mã kiểm tra nhãn (trang 44). Kết luận "có răng" (trang 50).</t>
  </si>
  <si>
    <t>Mã kiểm tra nhãn của Mộc: VALID = {"Đổi hàng", "Trả hàng", "Tra cứu đơn", "Cần làm rõ"}; đếm số nhãn hợp lệ xuất hiện trong đầu ra (so khớp đúng từng chữ). Đúng 1 → Đạt; 0 → Không đạt; từ 2 trở lên → Không đạt.</t>
  </si>
  <si>
    <t>T1</t>
  </si>
  <si>
    <t>Bảng cho câu 4.14–4.15: bộ đề 50 tin, mọi ngưỡng chốt trước khi chạy. Quy tắc phát hành (trang 50): mọi tiêu chí đạt ngưỡng và không tiêu chí nào tụt quá 2 điểm so với bản cũ.</t>
  </si>
  <si>
    <t>1 · Khách: "Đơn MS-1043 mình nhận hôm qua, áo chật, đổi size L được không?"</t>
  </si>
  <si>
    <t>Tiêu chí</t>
  </si>
  <si>
    <t>2 · Phân loại ý định: Tra cứu đơn</t>
  </si>
  <si>
    <t>Ngưỡng chốt trước</t>
  </si>
  <si>
    <t>v1.3</t>
  </si>
  <si>
    <t>3 · Công cụ: tra_cuu_don(MS-1043) → đã giao ngày 13/10</t>
  </si>
  <si>
    <t>v1.4</t>
  </si>
  <si>
    <t>Nhãn ý định đúng</t>
  </si>
  <si>
    <t>≥ 90%</t>
  </si>
  <si>
    <t>4 · Trả lời: "Đơn MS-1043 đã giao thành công ngày 13/10. Bạn cần hỗ trợ gì thêm không ạ?"</t>
  </si>
  <si>
    <t>90%</t>
  </si>
  <si>
    <t>96%</t>
  </si>
  <si>
    <t>Bịa mã đơn</t>
  </si>
  <si>
    <t>0 tin</t>
  </si>
  <si>
    <t>5 · Phản hồi: Không thích: "mình hỏi đổi size mà"</t>
  </si>
  <si>
    <t>Thời gian phản hồi (trung vị)</t>
  </si>
  <si>
    <t>&lt; 2 giây</t>
  </si>
  <si>
    <t>1,4 giây</t>
  </si>
  <si>
    <t>T2</t>
  </si>
  <si>
    <t>1,6 giây</t>
  </si>
  <si>
    <t>1 · Khách: "Mình muốn trả đôi giày mua tháng trước, hoàn tiền giúp mình." (không có mã đơn)</t>
  </si>
  <si>
    <t>Ghi nhận cảm xúc khách</t>
  </si>
  <si>
    <t>2 · Phân loại ý định: Trả hàng</t>
  </si>
  <si>
    <t>không tụt quá 2 điểm</t>
  </si>
  <si>
    <t>84%</t>
  </si>
  <si>
    <t>76%</t>
  </si>
  <si>
    <t>Câu 4.13: A. Kết luận trợ lý hỏng, quay về bản cũ.  ·  B. Kiểm tra lại chính bài đánh giá: mẫu so khớp, tên trường dữ liệu.  ·  C. Hạ ngưỡng để có kết quả.</t>
  </si>
  <si>
    <t>3 · Công cụ: (không gọi công cụ nào)</t>
  </si>
  <si>
    <t>4 · Trả lời: "Dạ shop đã ghi nhận, tiền sẽ về tài khoản bạn trong 3–5 ngày ạ."</t>
  </si>
  <si>
    <t>T3</t>
  </si>
  <si>
    <t>4.1</t>
  </si>
  <si>
    <t>1 · Khách: "Giày mua 20 ngày, đế bong hết rồi. Cho mình gặp người phụ trách." Mã MS-0990</t>
  </si>
  <si>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</si>
  <si>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2 · Phân loại ý định: Trả hàng · dấu hiệu hàng lỗi: có</t>
  </si>
  <si>
    <t>Thiếu đặc tả → sửa câu lệnh</t>
  </si>
  <si>
    <t>3 · Công cụ: tra_cuu_don(MS-0990) → nhận hàng 20 ngày trước</t>
  </si>
  <si>
    <t>4 · Trả lời: "Theo chính sách, đơn quá 7 ngày không được đổi trả ạ." (không gọi chuyen_nhan_vien)</t>
  </si>
  <si>
    <t>T4</t>
  </si>
  <si>
    <t>1 · Khách: "Áo chật quá, đổi size M sang L được không? Mã MS-1102."</t>
  </si>
  <si>
    <t>2 · Phân loại ý định: Đổi hàng</t>
  </si>
  <si>
    <t>39</t>
  </si>
  <si>
    <t>4.2</t>
  </si>
  <si>
    <t>3 · Công cụ: tra_cuu_don(MS-1102) → nhận hàng 2 ngày trước</t>
  </si>
  <si>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</si>
  <si>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Thiếu năng lực hệ thống → sửa kỹ thuật</t>
  </si>
  <si>
    <t>4 · Trả lời: "Dạ đơn MS-1102 vẫn trong hạn đổi 7 ngày ạ." (kết thúc)</t>
  </si>
  <si>
    <t>Câu 3.9: A. Lời trả lời trôi chảy, nghe chắc chắn; chỉ vết thực thi mới cho thấy không có bước tra cứu.  ·  B. Vì khách không phàn nàn gì.  ·  C. Vì câu trả lời quá ngắn.</t>
  </si>
  <si>
    <t>4.3</t>
  </si>
  <si>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</si>
  <si>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3.1</t>
  </si>
  <si>
    <t>T1 · Bước sai đầu tiên là bước số mấy?</t>
  </si>
  <si>
    <t>Lúc được lúc không → viết bài đánh giá tự động</t>
  </si>
  <si>
    <t>4.4</t>
  </si>
  <si>
    <t>Tiêu chí: nhãn ý định là đúng 1 trong 4 nhãn cho phép. Bộ chấm?  (chọn: Mã lệnh / Giám khảo AI / Người quyết)</t>
  </si>
  <si>
    <t>Mã lệnh</t>
  </si>
  <si>
    <t>40</t>
  </si>
  <si>
    <t>4.5</t>
  </si>
  <si>
    <t>Tiêu chí: mã đơn trong câu trả lời trùng mã khách đưa (không bịa mã). Bộ chấm?  (chọn: Mã lệnh / Giám khảo AI / Người quyết)</t>
  </si>
  <si>
    <t>33</t>
  </si>
  <si>
    <t>46</t>
  </si>
  <si>
    <t>3.2</t>
  </si>
  <si>
    <t>4.6</t>
  </si>
  <si>
    <t>T1 · Mã lỗi gốc là gì?  (chọn: wrong_intent / missing_lookup / premature_commit / missing_escalation / no_next_step)</t>
  </si>
  <si>
    <t>Tiêu chí: có gọi tra_cuu_don trước khi xác nhận đổi trả. Bộ chấm?  (chọn: Mã lệnh / Giám khảo AI / Người quyết)</t>
  </si>
  <si>
    <t>45</t>
  </si>
  <si>
    <t>4.7</t>
  </si>
  <si>
    <t>Tiêu chí: thời gian phản hồi dưới 2 giây. Bộ chấm?  (chọn: Mã lệnh / Giám khảo AI / Người quyết)</t>
  </si>
  <si>
    <t>4.8</t>
  </si>
  <si>
    <t>Tiêu chí: ghi nhận cảm xúc của khách trước khi xử lý. Bộ chấm?  (chọn: Mã lệnh / Giám khảo AI / Người quyết)</t>
  </si>
  <si>
    <t>Giám khảo AI</t>
  </si>
  <si>
    <t>35</t>
  </si>
  <si>
    <t>3.3</t>
  </si>
  <si>
    <t>T2 · Bước sai đầu tiên là bước số mấy?</t>
  </si>
  <si>
    <t>4.9</t>
  </si>
  <si>
    <t>Tiêu chí: đề xuất mức đền bù cho hàng lỗi có hợp lý với từng khách không. Bộ chấm?  (chọn: Mã lệnh / Giám khảo AI / Người quyết)</t>
  </si>
  <si>
    <t>Người quyết</t>
  </si>
  <si>
    <t>41</t>
  </si>
  <si>
    <t>4.10</t>
  </si>
  <si>
    <t>3.4</t>
  </si>
  <si>
    <t>Đầu ra: "Ý định: Đổi hàng". Mã kiểm tra trả về?  (chọn: Đạt · đúng 1 nhãn / Không đạt · không có nhãn hợp lệ / Không đạt · nhiều hơn 1 nhãn)</t>
  </si>
  <si>
    <t>T2 · Mã lỗi gốc là gì?  (chọn: wrong_intent / missing_lookup / premature_commit / missing_escalation / no_next_step)</t>
  </si>
  <si>
    <t>Đạt · đúng 1 nhãn</t>
  </si>
  <si>
    <t>44</t>
  </si>
  <si>
    <t>4.11</t>
  </si>
  <si>
    <t>Đầu ra: "Ý định: đổi size". Mã kiểm tra trả về?  (chọn: Đạt · đúng 1 nhãn / Không đạt · không có nhãn hợp lệ / Không đạt · nhiều hơn 1 nhãn)</t>
  </si>
  <si>
    <t>3.5</t>
  </si>
  <si>
    <t>T3 · Bước sai đầu tiên là bước số mấy?</t>
  </si>
  <si>
    <t>Không đạt · không có nhãn hợp lệ</t>
  </si>
  <si>
    <t>4.12</t>
  </si>
  <si>
    <t>Đầu ra: "Ý định: Đổi hàng; Trả hàng". Mã kiểm tra trả về?  (chọn: Đạt · đúng 1 nhãn / Không đạt · không có nhãn hợp lệ / Không đạt · nhiều hơn 1 nhãn)</t>
  </si>
  <si>
    <t>Không đạt · nhiều hơn 1 nhãn</t>
  </si>
  <si>
    <t>3.6</t>
  </si>
  <si>
    <t>T3 · Mã lỗi gốc là gì?  (chọn: wrong_intent / missing_lookup / premature_commit / missing_escalation / no_next_step)</t>
  </si>
  <si>
    <t>4.13</t>
  </si>
  <si>
    <t>Một bài đánh giá mới chạy ra tỷ lệ đạt 0% trên cả 50 tin. Việc đầu tiên nên làm?</t>
  </si>
  <si>
    <t>3.7</t>
  </si>
  <si>
    <t>T4 · Bước sai đầu tiên là bước số mấy?</t>
  </si>
  <si>
    <t>47</t>
  </si>
  <si>
    <t>4.14</t>
  </si>
  <si>
    <t>Đọc bảng v1.3 / v1.4. Kết luận nào đúng?  (chọn: Phát hành / Lặp tiếp / Quay về bản cũ)</t>
  </si>
  <si>
    <t>Lặp tiếp</t>
  </si>
  <si>
    <t>3.8</t>
  </si>
  <si>
    <t>T4 · Mã lỗi gốc là gì?  (chọn: wrong_intent / missing_lookup / premature_commit / missing_escalation / no_next_step)</t>
  </si>
  <si>
    <t>50</t>
  </si>
  <si>
    <t>4.15</t>
  </si>
  <si>
    <t>Khi Lặp tiếp, đòn nào làm trước?  (chọn: Sửa câu lệnh / Đổi mô hình / Đổi kiến trúc)</t>
  </si>
  <si>
    <t>Sửa câu lệnh</t>
  </si>
  <si>
    <t>3.9</t>
  </si>
  <si>
    <t>T2 · Vì sao chỉ đọc lời trợ lý nói thì không thấy lỗi?</t>
  </si>
  <si>
    <t>A</t>
  </si>
  <si>
    <t>Bài 5 · Hiệu chỉnh giám khảo AI (10 phút) · sau Phần 06 · trang 51–59</t>
  </si>
  <si>
    <t>Tiêu chí: "Đạt = ghi nhận cảm xúc của khách TRƯỚC khi xử lý. Nhắc lại sự việc chưa phải là ghi nhận cảm xúc."</t>
  </si>
  <si>
    <t>Chị Ngân (chuyên gia) và giám khảo AI cùng chấm 12 tin. Đ = Đạt, K = Không đạt. Ngưỡng đủ tin chốt trước: TPR và TNR đều từ 85% trở lên.</t>
  </si>
  <si>
    <t>32</t>
  </si>
  <si>
    <t>TPR = số tin cả hai cùng Đạt ÷ số tin chuyên gia chấm Đạt. TNR = số tin cả hai cùng Không đạt ÷ số tin chuyên gia chấm Không đạt (trang 53).</t>
  </si>
  <si>
    <t>Tin</t>
  </si>
  <si>
    <t>Chuyên gia (chị Ngân)</t>
  </si>
  <si>
    <t>Đ</t>
  </si>
  <si>
    <t>K</t>
  </si>
  <si>
    <t>/ 15 câu</t>
  </si>
  <si>
    <t>Câu 5.10: A. Đạt ngưỡng, đưa giám khảo vào dùng.  ·  B. Chưa đạt vì TNR thấp: siết định nghĩa Không đạt, thêm 3–4 ví dụ trượt sát ranh, chấm lại.  ·  C. Chưa đạt vì TPR thấp: thêm ví dụ Đạt sát ranh.</t>
  </si>
  <si>
    <t>Xưởng · Bộ đánh giá cho trợ lý đổi trả Mộc (50 phút, làm theo nhóm, có chấm điểm)</t>
  </si>
  <si>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</si>
  <si>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5.1</t>
  </si>
  <si>
    <t>Tên nhóm và thành viên:</t>
  </si>
  <si>
    <t>Chuyên gia chấm Đạt bao nhiêu tin?</t>
  </si>
  <si>
    <t xml:space="preserve">Tên nhóm: NaCl
Thành viên:
1. Nguyễn Thị Hồng Nhung - 2A202602557
2. Phan Thị Khánh Linh -  2A202602360
3. Trần Thị Thu Trang - 2A202602581
4. Thân Thị Kim Chi - 2A202602797
5. Hồ Hoàng Phương Anh - 2A202602460
6. Dương Thị Hồng Viên - 2A202602385
 </t>
  </si>
  <si>
    <t>X1 · Đơn vị công việc AI (4 phút · 1 điểm)</t>
  </si>
  <si>
    <t>Viết 1 câu: Đọc [đầu vào] → [đầu ra kiểm được], [ràng buộc]. Khác với câu 1.8 của Bài 1: chọn việc SOẠN CÂU TRẢ LỜI đổi trả, không phải việc gắn nhãn.</t>
  </si>
  <si>
    <t>Câu của nhóm</t>
  </si>
  <si>
    <t>53</t>
  </si>
  <si>
    <t>Đọc 1 tin nhắn đổi trả của khách (kèm kết quả tra_cuu_don) → soạn 1 câu trả lời đúng chính sách CS-1 đến CS-6: đã tra cứu đơn trước khi hứa, không bịa mã đơn, nêu 1 bước tiếp theo cụ thể (tạo yêu cầu / hỏi mã đơn / chuyển người), tối đa 80 từ, phản hồi dưới 2 giây; ca hàng lỗi hoặc khách đòi gặp người thì gọi chuyen_nhan_vien kèm lý do, không tự hứa đền bù.</t>
  </si>
  <si>
    <t>5.2</t>
  </si>
  <si>
    <t>Giám khảo chấm Đạt bao nhiêu tin?</t>
  </si>
  <si>
    <t>5.3</t>
  </si>
  <si>
    <t>Số tin hai bên khớp nhau?</t>
  </si>
  <si>
    <t>5.4</t>
  </si>
  <si>
    <t>Ô "cả hai Đạt" (nhận đúng ca đạt) có bao nhiêu tin?</t>
  </si>
  <si>
    <t>5.5</t>
  </si>
  <si>
    <t>Ô "giám khảo Đạt, chuyên gia Không đạt" (cho qua lỗi) có bao nhiêu tin?</t>
  </si>
  <si>
    <t>5.6</t>
  </si>
  <si>
    <t>Ô "giám khảo Không đạt, chuyên gia Đạt" (chặn nhầm) có bao nhiêu tin?</t>
  </si>
  <si>
    <t>X2 · Chiều và phễu (6 phút · 1 điểm)</t>
  </si>
  <si>
    <t>Chọn 3 chiều qua phép thử (ghi rõ hành vi đúng đổi thế nào), số giá trị mỗi chiều, số tổ hợp phi lý loại đi, số tình huống chọn, số cách diễn đạt. File tự tính số đầu vào.</t>
  </si>
  <si>
    <t>#</t>
  </si>
  <si>
    <t>Chiều</t>
  </si>
  <si>
    <t>Số giá trị</t>
  </si>
  <si>
    <t>Hành vi đúng đổi thế nào khi đổi giá trị (phép thử, trang 26)</t>
  </si>
  <si>
    <t>5.7</t>
  </si>
  <si>
    <t>Ô "cả hai Không đạt" (bắt đúng ca trượt) có bao nhiêu tin?</t>
  </si>
  <si>
    <t>Ý định (Đổi hàng / Trả hàng / Tra cứu đơn / Cần làm rõ)</t>
  </si>
  <si>
    <t>Đổi → tra đơn rồi tạo yêu cầu đổi (CS-1); Trả → tạo yêu cầu trả + báo hoàn tiền 3–5 ngày sau khi kho nhận (CS-2); Tra cứu → chỉ báo trạng thái, không tạo yêu cầu; Cần làm rõ → hỏi lại khách muốn gì.</t>
  </si>
  <si>
    <t>5.8</t>
  </si>
  <si>
    <t>TPR là bao nhiêu? (gõ kèm %, 1 chữ số thập phân)</t>
  </si>
  <si>
    <t>Độ đủ thông tin (đủ mã đơn / thiếu mã đơn / mơ hồ)</t>
  </si>
  <si>
    <t>Đủ mã đơn → gọi tra_cuu_don rồi xử lý (CS-4); thiếu mã đơn → hỏi mã đơn hoặc số điện thoại, không đoán đơn, không tạo yêu cầu (CS-5); mơ hồ → gắn Cần làm rõ và hỏi lại đơn nào, muốn gì.</t>
  </si>
  <si>
    <t>Tình trạng đơn (trong 7 ngày / quá 7 ngày / hàng lỗi trong 30 ngày)</t>
  </si>
  <si>
    <t>Trong 7 ngày → tạo yêu cầu đổi/trả (CS-1, CS-2); quá 7 ngày (không lỗi) → từ chối, nêu quy định 7 ngày, không hứa hoàn tiền; hàng lỗi trong 30 ngày → gọi chuyen_nhan_vien, không tự hứa đền bù (CS-3, CS-6).</t>
  </si>
  <si>
    <t>Số tổ hợp (tự tính)</t>
  </si>
  <si>
    <t>5.9</t>
  </si>
  <si>
    <t>TNR là bao nhiêu? (gõ kèm %)</t>
  </si>
  <si>
    <t>Số tổ hợp phi lý loại đi</t>
  </si>
  <si>
    <t>Còn lại (tự tính)</t>
  </si>
  <si>
    <t>5.10</t>
  </si>
  <si>
    <t>Với ngưỡng 85%, kết luận nào đúng?</t>
  </si>
  <si>
    <t>56</t>
  </si>
  <si>
    <t>5.11</t>
  </si>
  <si>
    <t>Ô nào nguy hiểm nhất?  (chọn: Cho qua lỗi / Chặn nhầm)</t>
  </si>
  <si>
    <t>Cho qua lỗi</t>
  </si>
  <si>
    <t>Số tình huống chọn để thử</t>
  </si>
  <si>
    <t>5.12</t>
  </si>
  <si>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</si>
  <si>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55</t>
  </si>
  <si>
    <t>5.13</t>
  </si>
  <si>
    <t>Sau 3 vòng: tập hiệu chỉnh TPR 90%, TNR 89%; tập kiểm tra giữ riêng TPR 88%, TNR 85%. Chênh lớn nhất giữa hai tập là bao nhiêu điểm?</t>
  </si>
  <si>
    <t>Số cách diễn đạt mỗi tình huống</t>
  </si>
  <si>
    <t>Số đầu vào của bộ đề (tự tính)</t>
  </si>
  <si>
    <t>5.14</t>
  </si>
  <si>
    <t>Với kết quả câu 5.13, giám khảo đã hiệu chỉnh xong (chênh ≤ 5 điểm, cả hai ≥ 85%) chưa?  (chọn: Có / Không)</t>
  </si>
  <si>
    <t>5.15</t>
  </si>
  <si>
    <t>"Giám khảo cùng họ mô hình với trợ lý sẽ chấm công bằng hơn vì hiểu cách nó trả lời."  (chọn: Đúng / Sai)</t>
  </si>
  <si>
    <t>Sai</t>
  </si>
  <si>
    <t>5.16</t>
  </si>
  <si>
    <t>"Cho giám khảo chấm thang 1–10 để kết quả chi tiết hơn."  (chọn: Đúng / Sai)</t>
  </si>
  <si>
    <t>52</t>
  </si>
  <si>
    <t>5.17</t>
  </si>
  <si>
    <t>"Dùng 3 giám khảo thì lấy kết luận theo đa số phiếu."  (chọn: Đúng / Sai)</t>
  </si>
  <si>
    <t>5.18</t>
  </si>
  <si>
    <t>"Khi chính các chuyên gia chấm lệch nhau nhiều, phải sửa tiêu chí trước khi nghĩ đến tự động hóa."  (chọn: Đúng / Sai)</t>
  </si>
  <si>
    <t>Đúng</t>
  </si>
  <si>
    <t>X3 · 8 tình huống (9 phút · 2 điểm)</t>
  </si>
  <si>
    <t>58</t>
  </si>
  <si>
    <t>8 tình huống cho trợ lý Mộc: tin nhắn của khách, hành vi đúng mong đợi (dẫn chính sách CS-1 đến CS-6), loại tình huống. Có đủ 3 loại; ít nhất 3 tình huống thử thách.</t>
  </si>
  <si>
    <t>Tin nhắn của khách</t>
  </si>
  <si>
    <t>Hành vi đúng mong đợi (dẫn CS-1 đến CS-6)</t>
  </si>
  <si>
    <t>Loại tình huống</t>
  </si>
  <si>
    <t>/ 18 câu</t>
  </si>
  <si>
    <t>"Mình nhận áo hôm qua, mặc chật, đổi sang size L giúp mình nhé, mã MS-2001."</t>
  </si>
  <si>
    <t>Gọi tra_cuu_don(MS-2001) → nhận 1 ngày, trong 7 ngày → gọi tao_yeu_cau_doi_tra (đổi size L), báo miễn phí đổi lần đầu, nhắc giữ tem mác (CS-1, CS-4).</t>
  </si>
  <si>
    <t>Thang điểm Xưởng (10 điểm) · trợ giảng ghi phần máy chấm, giảng viên chấm phần viết</t>
  </si>
  <si>
    <t>Chấm theo mô tả; điểm lẻ 0,25 khi bài nằm giữa hai mức. Cột "Tự kiểm tra" lấy từ trang Xưởng: chỉ để tham khảo, không thay cho việc đọc bài.</t>
  </si>
  <si>
    <t>Tổng hợp kết quả tự kiểm tra</t>
  </si>
  <si>
    <t>"Đơn MS-2002 giao 3 ngày trước, mình muốn trả hàng lấy lại tiền."</t>
  </si>
  <si>
    <t>Gọi tra_cuu_don(MS-2002) → trong 7 ngày → gọi tao_yeu_cau_doi_tra (trả hàng), báo tiền hoàn trong 3–5 ngày làm việc sau khi kho nhận lại hàng (CS-2, CS-4).</t>
  </si>
  <si>
    <t>Phần</t>
  </si>
  <si>
    <t>Bài</t>
  </si>
  <si>
    <t>Tối đa</t>
  </si>
  <si>
    <t>Đủ điểm</t>
  </si>
  <si>
    <t>Tổng số câu</t>
  </si>
  <si>
    <t>Một nửa</t>
  </si>
  <si>
    <t>Không điểm</t>
  </si>
  <si>
    <t>Điểm chấm</t>
  </si>
  <si>
    <t>"Đơn MS-2003 của mình giờ tới đâu rồi shop?"</t>
  </si>
  <si>
    <t>X1</t>
  </si>
  <si>
    <t>Gọi tra_cuu_don(MS-2003), báo trạng thái và ngày giao dự kiến/đã giao; không tạo yêu cầu đổi trả (CS-4).</t>
  </si>
  <si>
    <t>Có đủ đầu vào, đầu ra kiểm được và ràng buộc bằng số; nói rõ ca nào chuyển người</t>
  </si>
  <si>
    <t>Có câu nhưng thiếu ràng buộc hoặc đầu ra không kiểm được</t>
  </si>
  <si>
    <t>Mục tiêu chung chung ("trả lời tốt hơn")</t>
  </si>
  <si>
    <t>"Cái đơn hôm bữa ấy, đổi giúp mình nha." (không có mã đơn)</t>
  </si>
  <si>
    <t>Gắn Cần làm rõ; hỏi mã đơn hoặc số điện thoại đặt hàng và muốn đổi gì; không đoán đơn, không tạo yêu cầu (CS-5).</t>
  </si>
  <si>
    <t>X2</t>
  </si>
  <si>
    <t>3 chiều đều qua phép thử, ghi rõ hành vi đổi thế nào; số đầu vào 40–50</t>
  </si>
  <si>
    <t>2 chiều qua phép thử hoặc số đầu vào ngoài khoảng</t>
  </si>
  <si>
    <t>Chọn thuộc tính chỉ là cách diễn đạt (lịch sự, độ dài)</t>
  </si>
  <si>
    <t>X3</t>
  </si>
  <si>
    <t>8 tình huống, đủ 3 loại, ≥ 3 thử thách; hành vi đúng cụ thể, dẫn chính sách</t>
  </si>
  <si>
    <t>Thiếu 1 loại hoặc hành vi đúng còn chung chung</t>
  </si>
  <si>
    <t>Ít hơn 6 tình huống hoặc toàn tình huống dễ</t>
  </si>
  <si>
    <t>"Mình đặt 2 đơn: MS-2005 muốn trả, MS-2006 muốn đổi sang màu đen."</t>
  </si>
  <si>
    <t>X4</t>
  </si>
  <si>
    <t>Gọi tra_cuu_don cho cả MS-2005 và MS-2006; xử lý từng đơn riêng: MS-2005 tạo yêu cầu trả (CS-2), MS-2006 tạo yêu cầu đổi màu (CS-1) nếu còn trong 7 ngày; xác nhận lại cả 2 mã đơn (CS-4).</t>
  </si>
  <si>
    <t>Đúng bước và đúng mã lỗi gốc ở cả 3 vết (0,25 điểm mỗi ô đúng)</t>
  </si>
  <si>
    <t>Đúng một trong hai ô (bước hoặc mã) ở mỗi vết</t>
  </si>
  <si>
    <t>Sai cả bước và mã; cột “Nên sửa ở đâu” chỉ để nhận xét, không tính điểm</t>
  </si>
  <si>
    <t>X5</t>
  </si>
  <si>
    <t>4 tiêu chí nhị phân, có ví dụ sát ranh hai phía, bộ chấm đúng căn cứ kiểm chứng, có ngưỡng (0,5 mỗi tiêu chí)</t>
  </si>
  <si>
    <t>Thiếu ví dụ sát ranh hoặc thiếu ngưỡng</t>
  </si>
  <si>
    <t>Dùng từ mơ hồ ("phù hợp", "hợp lý") hoặc thang điểm</t>
  </si>
  <si>
    <t>X6</t>
  </si>
  <si>
    <t>"Giày nhận 15 ngày, đế bong hết rồi, mã MS-2007, đổi giúp mình đôi mới."</t>
  </si>
  <si>
    <t>Đếm đúng 4 ô, TPR và TNR đúng, chọn đúng kết luận B</t>
  </si>
  <si>
    <t>Số đúng nhưng kết luận sai</t>
  </si>
  <si>
    <t>Gắn Trả hàng + cờ hàng lỗi; gọi tra_cuu_don(MS-2007) → 15 ngày, trong hạn 30 ngày → gọi chuyen_nhan_vien kèm lý do "hàng lỗi"; không từ chối vì quá 7 ngày, không tự hứa đền bù (CS-3, CS-6).</t>
  </si>
  <si>
    <t>Đếm sai ô</t>
  </si>
  <si>
    <t>X7</t>
  </si>
  <si>
    <t>Chọn Phát hành, kế hoạch có mẫu %, 3 tín hiệu, ngưỡng cảnh báo bằng số; trả lời đúng 3 câu số liệu</t>
  </si>
  <si>
    <t>Đúng kết luận, kế hoạch thiếu số</t>
  </si>
  <si>
    <t>Chọn Lặp tiếp vì Ghi nhận cảm xúc giảm 2 điểm (đó là nhiễu)</t>
  </si>
  <si>
    <t>"Đơn MS-0871 mình nhận 20 ngày rồi, trả lấy tiền được không?" (tuần trước trợ lý từng hứa hoàn tiền sai)</t>
  </si>
  <si>
    <t>Gọi tra_cuu_don(MS-0871) → quá 7 ngày, không lỗi → từ chối lịch sự, nêu quy định trả hàng 7 ngày; KHÔNG hứa hoàn tiền, không tạo yêu cầu; nếu hàng lỗi thì chuyển nhân viên (CS-2, CS-3, CS-4).</t>
  </si>
  <si>
    <t>Xưởng · các ô tự kiểm tra</t>
  </si>
  <si>
    <t>Đơn vị công việc AI</t>
  </si>
  <si>
    <t>Chiều và phễu</t>
  </si>
  <si>
    <t>"Mình gửi trả hàng đơn MS-2008 rồi, shop hoàn tiền ngay cho mình đi."</t>
  </si>
  <si>
    <t>Gọi tra_cuu_don(MS-2008) TRƯỚC khi trả lời; không xác nhận "đã hoàn tiền"; chỉ báo tiền hoàn trong 3–5 ngày làm việc sau khi kho nhận lại hàng, theo trạng thái đơn tra được (CS-2, CS-4).</t>
  </si>
  <si>
    <t>8 tình huống</t>
  </si>
  <si>
    <t>Đọc 3 vết thực thi mới</t>
  </si>
  <si>
    <t>Số tình huống đại diện</t>
  </si>
  <si>
    <t>/ 6 ô</t>
  </si>
  <si>
    <t>Số tình huống thử thách</t>
  </si>
  <si>
    <t>4 tiêu chí nhị phân</t>
  </si>
  <si>
    <t>Số tình huống hồi quy nghiêm trọng</t>
  </si>
  <si>
    <t>Hiệu chỉnh giám khảo</t>
  </si>
  <si>
    <t>/ 5 ô</t>
  </si>
  <si>
    <t>Kết luận có răng</t>
  </si>
  <si>
    <t>/ 4 ô</t>
  </si>
  <si>
    <t>X4 · Đọc 3 vết thực thi mới (7 phút · 1,5 điểm)</t>
  </si>
  <si>
    <t>Với W1, W2, W3: bước sai đầu tiên, mã lỗi gốc, nên sửa ở đâu.</t>
  </si>
  <si>
    <t>W1</t>
  </si>
  <si>
    <t>1 · Khách: "Mình muốn đổi đơn MS-1120 sang màu đen."</t>
  </si>
  <si>
    <t>3 · Công cụ: tao_yeu_cau_doi_tra(MS-1120, đổi màu) (không gọi tra_cuu_don trước)</t>
  </si>
  <si>
    <t>4 · Trả lời: "Dạ shop đã tạo yêu cầu đổi sang màu đen cho bạn ạ."</t>
  </si>
  <si>
    <t>W2</t>
  </si>
  <si>
    <t>1 · Khách: "Đơn hôm trước á, mình không lấy nữa." (không có mã đơn)</t>
  </si>
  <si>
    <t>3 · Công cụ: tra_cuu_don(số điện thoại của khách) → 2 đơn: MS-1187, MS-1188</t>
  </si>
  <si>
    <t>4 · Công cụ: tao_yeu_cau_doi_tra(MS-1188, trả hàng)</t>
  </si>
  <si>
    <t>5 · Trả lời: "Dạ shop đã tạo yêu cầu trả đơn MS-1188 ạ."</t>
  </si>
  <si>
    <t>W3</t>
  </si>
  <si>
    <t>1 · Khách: "Mình nhắn 3 lần rồi, áo rách, cho mình nói chuyện với người thật." Mã MS-1001</t>
  </si>
  <si>
    <t>3 · Công cụ: tra_cuu_don(MS-1001) → nhận hàng 5 ngày trước</t>
  </si>
  <si>
    <t>4 · Trả lời: "Dạ bạn có thể gửi trả trong 7 ngày, shop hoàn tiền 3–5 ngày làm việc ạ." (không gọi chuyen_nhan_vien)</t>
  </si>
  <si>
    <t>Bước sai đầu tiên (số)</t>
  </si>
  <si>
    <t>Mã lỗi gốc</t>
  </si>
  <si>
    <t>Nên sửa ở đâu (1 câu)</t>
  </si>
  <si>
    <t>Khoảng 100 ca</t>
  </si>
  <si>
    <t>Trục 1</t>
  </si>
  <si>
    <t>Kiểm tra bước</t>
  </si>
  <si>
    <t>Kiểm tra mã</t>
  </si>
  <si>
    <t>Phát hành</t>
  </si>
  <si>
    <t>Sửa câu lệnh: bắt buộc gọi tra_cuu_don trước mọi tao_yeu_cau_doi_tra (CS-4), và thêm bài chấm bằng mã lệnh kiểm tra thứ tự lời gọi công cụ.</t>
  </si>
  <si>
    <t>Đổi mô hình</t>
  </si>
  <si>
    <t>Chặn nhầm</t>
  </si>
  <si>
    <t>C</t>
  </si>
  <si>
    <t>Khoảng 10.000 ca</t>
  </si>
  <si>
    <t>Trục 3</t>
  </si>
  <si>
    <t>Quay về bản cũ</t>
  </si>
  <si>
    <t>Đổi kiến trúc</t>
  </si>
  <si>
    <t>Mã lệnh (lời gọi công cụ) + người kiểm mẫu 10%</t>
  </si>
  <si>
    <t>Sửa câu lệnh phân loại: tin không rõ đơn nào gắn Cần làm rõ; tra theo số điện thoại ra từ 2 đơn trở lên thì hỏi khách chọn đơn, không tự đoán (CS-5).</t>
  </si>
  <si>
    <t>Sửa câu lệnh/quy tắc điều phối: cờ hàng lỗi hoặc khách đòi gặp người thì bắt buộc gọi chuyen_nhan_vien kèm lý do (CS-3, CS-6), không tự trả lời chính sách trả hàng.</t>
  </si>
  <si>
    <t>X5 · 4 tiêu chí nhị phân (9 phút · 2 điểm)</t>
  </si>
  <si>
    <t>Mỗi tiêu chí: tên, Đạt khi (điều kiện nhìn thấy được), 1 ví dụ Đạt sát ranh, 1 ví dụ Không đạt sát ranh, bộ chấm (theo căn cứ kiểm chứng), ngưỡng.</t>
  </si>
  <si>
    <t>Tên tiêu chí</t>
  </si>
  <si>
    <t>Đạt khi (điều kiện nhìn thấy được)</t>
  </si>
  <si>
    <t>Ví dụ ĐẠT sát ranh</t>
  </si>
  <si>
    <t>Ví dụ KHÔNG ĐẠT sát ranh</t>
  </si>
  <si>
    <t>Bộ chấm</t>
  </si>
  <si>
    <t>Ngưỡng</t>
  </si>
  <si>
    <t>TC1</t>
  </si>
  <si>
    <t>Trong vết, lời gọi tra_cuu_don xuất hiện TRƯỚC lời gọi tao_yeu_cau_doi_tra và trước mọi câu xác nhận đổi/trả/hoàn tiền.</t>
  </si>
  <si>
    <t>Trợ lý nói "Dạ để shop kiểm tra đơn" → gọi tra_cuu_don → rồi mới nói "đơn còn hạn, shop đã tạo yêu cầu đổi".</t>
  </si>
  <si>
    <t>Có gọi tra_cuu_don nhưng SAU câu "shop sẽ đổi cho bạn ạ".</t>
  </si>
  <si>
    <t>≥ 95%</t>
  </si>
  <si>
    <t>TC2</t>
  </si>
  <si>
    <t>Không bịa mã đơn</t>
  </si>
  <si>
    <t>Mọi chuỗi MS-xxxx trong câu trả lời trùng với mã khách gửi hoặc mã do tra_cuu_don trả về trong vết.</t>
  </si>
  <si>
    <t>Khách không gửi mã; tra theo số điện thoại ra đúng 1 đơn MS-1187; câu trả lời nhắc MS-1187.</t>
  </si>
  <si>
    <t>Khách gửi MS-1043, câu trả lời ghi MS-1034 (đảo 2 chữ số).</t>
  </si>
  <si>
    <t>100% (0 tin bịa mã)</t>
  </si>
  <si>
    <t>TC3</t>
  </si>
  <si>
    <t>Chuyển nhân viên khi hàng lỗi hoặc khách đòi gặp người</t>
  </si>
  <si>
    <t>Tin có nhãn chuẩn "cần chuyển" (hàng lỗi hoặc khách yêu cầu gặp người): vết có chuyen_nhan_vien kèm lý do và câu trả lời không nêu mức đền bù. Tin không có nhãn đó: không gọi chuyen_nhan_vien.</t>
  </si>
  <si>
    <t>Khách báo áo rách nhưng không đòi gặp người; trợ lý gọi chuyen_nhan_vien(lý do: hàng lỗi) và nói "nhân viên sẽ liên hệ bạn trong hôm nay".</t>
  </si>
  <si>
    <t>Có gọi chuyen_nhan_vien nhưng câu trả lời vẫn hứa "shop sẽ đổi đôi mới cho bạn".</t>
  </si>
  <si>
    <t>TC4</t>
  </si>
  <si>
    <t>Ghi nhận cảm xúc trước khi xử lý</t>
  </si>
  <si>
    <t>Câu đầu tiên của câu trả lời nói ra cảm xúc hoặc sự bất tiện của khách (xin lỗi, tiếc, hiểu bạn bực) trước thông tin chính sách; chỉ nhắc lại sự việc thì không tính.</t>
  </si>
  <si>
    <t>"Dạ shop xin lỗi vì bạn phải nhắn 3 lần, đơn MS-1001 shop chuyển nhân viên ngay ạ." (1 vế ngắn nhưng có cảm xúc)</t>
  </si>
  <si>
    <t>"Dạ shop đã nhận thông tin áo bị rách của bạn, đơn MS-1001..." (chỉ nhắc lại sự việc)</t>
  </si>
  <si>
    <t>≥ 80% (giám khảo đã hiệu chỉnh TPR, TNR ≥ 85%)</t>
  </si>
  <si>
    <t>Từ bị coi là mơ hồ: tốt, hợp lý, phù hợp, đầy đủ, chính xác, hài lòng, thân thiện. Bộ chấm chọn theo căn cứ kiểm chứng (trang 41).</t>
  </si>
  <si>
    <t>X6 · Hiệu chỉnh giám khảo (4 phút · 1 điểm)</t>
  </si>
  <si>
    <t>Tiêu chí "Không hứa vượt chính sách", 20 tin, ngưỡng 90% cho cả TPR và TNR. Đếm 4 ô, file tự tính TPR, TNR. Chọn kết luận.</t>
  </si>
  <si>
    <t>Chuyên gia</t>
  </si>
  <si>
    <t>Đếm 4 ô</t>
  </si>
  <si>
    <t>Số tin</t>
  </si>
  <si>
    <t>Cả hai Đạt</t>
  </si>
  <si>
    <t>Chuyên gia Đạt, giám khảo Không đạt (chặn nhầm)</t>
  </si>
  <si>
    <t>Chuyên gia Không đạt, giám khảo Đạt (cho qua lỗi)</t>
  </si>
  <si>
    <t>Cả hai Không đạt</t>
  </si>
  <si>
    <t>TPR = cả hai Đạt ÷ chuyên gia Đạt (tự tính)</t>
  </si>
  <si>
    <t>TNR = cả hai Không đạt ÷ chuyên gia Không đạt (tự tính)</t>
  </si>
  <si>
    <t>Ngưỡng chốt trước (tiêu chí rủi ro cao)</t>
  </si>
  <si>
    <t>Tổng 4 ô phải bằng 20</t>
  </si>
  <si>
    <t>A. Đạt cả hai ngưỡng, đưa giám khảo vào dùng.</t>
  </si>
  <si>
    <t>B. Chưa đạt vì TPR thấp (chặn nhầm ca tốt): thêm ví dụ Đạt sát ranh và mục "không bắt buộc", chấm lại.</t>
  </si>
  <si>
    <t>C. Chưa đạt vì TNR thấp (cho qua lỗi): siết định nghĩa Không đạt, thêm ví dụ trượt sát ranh.</t>
  </si>
  <si>
    <t>Kết luận (chọn A, B hoặc C)</t>
  </si>
  <si>
    <t>X7 · Kết luận có răng (4 phút · 1,5 điểm)</t>
  </si>
  <si>
    <t>Đọc báo cáo v1.3 / v1.4, chọn Phát hành, Lặp tiếp hay Quay về; viết kế hoạch đi kèm. Trả lời 3 câu về 2 giờ chấm của chuyên gia.</t>
  </si>
  <si>
    <t>94%</t>
  </si>
  <si>
    <t>100%</t>
  </si>
  <si>
    <t>92%</t>
  </si>
  <si>
    <t>98%</t>
  </si>
  <si>
    <t>Giám khảo AI đã hiệu chỉnh</t>
  </si>
  <si>
    <t>≥ 80%</t>
  </si>
  <si>
    <t>82%</t>
  </si>
  <si>
    <t>Chuyển nhân viên đúng lúc</t>
  </si>
  <si>
    <t>Người (chuyên gia chấm cả 50 tin)</t>
  </si>
  <si>
    <t>88%</t>
  </si>
  <si>
    <t>1,7 giây</t>
  </si>
  <si>
    <t>Bộ đề 50 tin; ngưỡng chốt trước khi chạy. Quy tắc phát hành (trang 50): mọi tiêu chí đạt ngưỡng và không tiêu chí nào tụt quá 2 điểm so với bản cũ.</t>
  </si>
  <si>
    <t>Kết luận</t>
  </si>
  <si>
    <t>Kế hoạch đi kèm</t>
  </si>
  <si>
    <t>Phát hành v1.4 vì mọi tiêu chí đạt ngưỡng và không tiêu chí nào tụt quá 2 điểm (Ghi nhận cảm xúc 84% → 82%, tụt đúng 2 điểm, vẫn ≥ 80%). Giám sát sau phát hành: (1) Lấy mẫu ngẫu nhiên 5% tin thật mỗi ngày (~15/300 tin) để chấm tiếp bằng bộ chấm hiện có; chị Ngân chấm tay 20 tin/tuần để soi giám khảo AI. (2) 3 tín hiệu trôi + ngưỡng cảnh báo: Ghi nhận cảm xúc &lt; 80% hoặc giảm &gt; 3 điểm so với 82%; Tỷ lệ chuyển nhân viên đúng lúc &lt; 90% (hoặc tỷ lệ tin bị chuyển lệch &gt; 5 điểm so với tuần đầu); Tỷ lệ phản hồi "Không thích" của khách &gt; 10% hoặc thời gian phản hồi trung vị &gt; 2 giây. Tra cứu trước khi hứa &lt; 95% hoặc có 1 tin bịa mã đơn thì cảnh báo ngay. (3) Ai xem, bao lâu: bảng theo dõi tự cập nhật hằng ngày, trưởng nhóm sản phẩm xem mỗi sáng; chị Ngân họp duyệt mỗi thứ Hai trong 4 tuần đầu. Vượt ngưỡng 2 ngày liên tiếp → quay về v1.3 và đưa ca trượt vào bộ chống tái phát.</t>
  </si>
  <si>
    <t>Kế hoạch phải có: lấy mẫu bao nhiêu % tin thật để chấm tiếp, 3 tín hiệu trôi cần nhìn, ngưỡng cảnh báo bằng số, ai xem và bao lâu một lần.</t>
  </si>
  <si>
    <t>Chuyên gia bỏ 2 giờ chấm 200 ca: 150 Đạt. Giám khảo AI chấm cùng 200 ca, khớp với chuyên gia ở 168 ca (trang 64).</t>
  </si>
  <si>
    <t>Tỷ lệ đạt nền của hệ thống (gõ kèm %)</t>
  </si>
  <si>
    <t>Số ca đưa vào bộ chống tái phát</t>
  </si>
  <si>
    <t>Tỷ lệ khớp của giám khảo với chuyên gia (gõ kèm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</si>
</sst>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RED]\-#,##0"/>
    <numFmt numFmtId="165" formatCode="0.0"/>
    <numFmt numFmtId="166" formatCode="0.0%"/>
  </numFmts>
  <fonts count="10">
    <font>
      <sz val="11.0"/>
      <color theme="1"/>
      <name val="Calibri"/>
      <scheme val="minor"/>
    </font>
    <font>
      <b/>
      <sz val="14.0"/>
      <color theme="1"/>
      <name val="Cambria"/>
    </font>
    <font>
      <i/>
      <sz val="11.0"/>
      <color rgb="FF595959"/>
      <name val="Cambria"/>
    </font>
    <font>
      <sz val="11.0"/>
      <color theme="1"/>
      <name val="Calibri"/>
    </font>
    <font>
      <b/>
      <sz val="11.0"/>
      <color theme="1"/>
      <name val="Calibri"/>
    </font>
    <font>
      <b/>
      <sz val="11.0"/>
      <color theme="1"/>
      <name val="Cambria"/>
    </font>
    <font>
      <b/>
      <sz val="11.0"/>
      <color rgb="FFFFFFFF"/>
      <name val="Cambria"/>
    </font>
    <font/>
    <font>
      <i/>
      <sz val="10.0"/>
      <color rgb="FF595959"/>
      <name val="Calibri"/>
    </font>
    <font>
      <color theme="1"/>
      <name val="Calibri"/>
      <scheme val="minor"/>
    </font>
  </fonts>
  <fills count="5">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s>
  <borders count="5">
    <border/>
    <border>
      <left style="thin">
        <color rgb="FFBFBFBF"/>
      </left>
      <top style="thin">
        <color rgb="FFBFBFBF"/>
      </top>
      <bottom style="thin">
        <color rgb="FFBFBFBF"/>
      </bottom>
    </border>
    <border>
      <left style="thin">
        <color rgb="FFBFBFBF"/>
      </left>
      <right style="thin">
        <color rgb="FFBFBFBF"/>
      </righ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shrinkToFit="0" vertical="top" wrapText="0"/>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0"/>
    </xf>
    <xf borderId="0" fillId="0" fontId="3" numFmtId="0" xfId="0" applyAlignment="1" applyFont="1">
      <alignment readingOrder="0" shrinkToFit="0" vertical="top" wrapText="1"/>
    </xf>
    <xf borderId="2" fillId="2" fontId="6" numFmtId="0" xfId="0" applyAlignment="1" applyBorder="1" applyFill="1" applyFont="1">
      <alignment shrinkToFit="0" vertical="top" wrapText="1"/>
    </xf>
    <xf borderId="1" fillId="2" fontId="6" numFmtId="0" xfId="0" applyAlignment="1" applyBorder="1" applyFill="1" applyFont="1">
      <alignment shrinkToFit="0" vertical="top" wrapText="1"/>
    </xf>
    <xf borderId="3" fillId="0" fontId="7" numFmtId="0" xfId="0" applyBorder="1" applyFont="1"/>
    <xf borderId="2" fillId="0" fontId="4" numFmtId="0" xfId="0" applyAlignment="1" applyBorder="1" applyFont="1">
      <alignment shrinkToFit="0" vertical="top" wrapText="1"/>
    </xf>
    <xf borderId="2" fillId="0" fontId="3" numFmtId="0" xfId="0" applyAlignment="1" applyBorder="1" applyFont="1">
      <alignment shrinkToFit="0" vertical="top" wrapText="1"/>
    </xf>
    <xf borderId="1" fillId="0" fontId="3" numFmtId="0" xfId="0" applyAlignment="1" applyBorder="1" applyFont="1">
      <alignment shrinkToFit="0" vertical="top" wrapText="1"/>
    </xf>
    <xf borderId="0" fillId="0" fontId="8" numFmtId="0" xfId="0" applyAlignment="1" applyFont="1">
      <alignment shrinkToFit="0" vertical="top" wrapText="1"/>
    </xf>
    <xf borderId="1" fillId="0" fontId="4" numFmtId="0" xfId="0" applyAlignment="1" applyBorder="1" applyFont="1">
      <alignment shrinkToFit="0" vertical="top" wrapText="1"/>
    </xf>
    <xf borderId="2" fillId="3" fontId="3" numFmtId="164" xfId="0" applyAlignment="1" applyBorder="1" applyFill="1" applyFont="1" applyNumberFormat="1">
      <alignment readingOrder="0" shrinkToFit="0" vertical="top" wrapText="1"/>
    </xf>
    <xf borderId="2" fillId="4" fontId="3" numFmtId="0" xfId="0" applyAlignment="1" applyBorder="1" applyFill="1" applyFont="1">
      <alignment shrinkToFit="0" vertical="top" wrapText="1"/>
    </xf>
    <xf borderId="2" fillId="3" fontId="3" numFmtId="1" xfId="0" applyAlignment="1" applyBorder="1" applyFill="1" applyFont="1" applyNumberFormat="1">
      <alignment readingOrder="0" shrinkToFit="0" vertical="top" wrapText="1"/>
    </xf>
    <xf borderId="2" fillId="3" fontId="3" numFmtId="9" xfId="0" applyAlignment="1" applyBorder="1" applyFill="1" applyFont="1" applyNumberFormat="1">
      <alignment readingOrder="0" shrinkToFit="0" vertical="top" wrapText="1"/>
    </xf>
    <xf borderId="2" fillId="4" fontId="4" numFmtId="1" xfId="0" applyAlignment="1" applyBorder="1" applyFill="1" applyFont="1" applyNumberFormat="1">
      <alignment shrinkToFit="0" vertical="top" wrapText="1"/>
    </xf>
    <xf borderId="4" fillId="0" fontId="7" numFmtId="0" xfId="0" applyBorder="1" applyFont="1"/>
    <xf borderId="1" fillId="3" fontId="3" numFmtId="164" xfId="0" applyAlignment="1" applyBorder="1" applyFill="1" applyFont="1" applyNumberFormat="1">
      <alignment readingOrder="0" shrinkToFit="0" vertical="top" wrapText="1"/>
    </xf>
    <xf borderId="0" fillId="0" fontId="5" numFmtId="0" xfId="0" applyAlignment="1" applyFont="1">
      <alignment shrinkToFit="0" vertical="top" wrapText="1"/>
    </xf>
    <xf borderId="2" fillId="3" fontId="3" numFmtId="0" xfId="0" applyAlignment="1" applyBorder="1" applyFill="1" applyFont="1">
      <alignment readingOrder="0" shrinkToFit="0" vertical="top" wrapText="1"/>
    </xf>
    <xf borderId="2" fillId="4" fontId="3" numFmtId="1" xfId="0" applyAlignment="1" applyBorder="1" applyFill="1" applyFont="1" applyNumberFormat="1">
      <alignment shrinkToFit="0" vertical="top" wrapText="1"/>
    </xf>
    <xf borderId="2" fillId="3" fontId="3" numFmtId="2" xfId="0" applyAlignment="1" applyBorder="1" applyFill="1" applyFont="1" applyNumberFormat="1">
      <alignment readingOrder="0" shrinkToFit="0" vertical="top" wrapText="1"/>
    </xf>
    <xf borderId="2" fillId="0" fontId="3" numFmtId="165" xfId="0" applyAlignment="1" applyBorder="1" applyFont="1" applyNumberFormat="1">
      <alignment shrinkToFit="0" vertical="top" wrapText="1"/>
    </xf>
    <xf borderId="2" fillId="3" fontId="3" numFmtId="2" xfId="0" applyAlignment="1" applyBorder="1" applyFill="1" applyFont="1" applyNumberFormat="1">
      <alignment shrinkToFit="0" vertical="top" wrapText="1"/>
    </xf>
    <xf borderId="2" fillId="0" fontId="3" numFmtId="1" xfId="0" applyAlignment="1" applyBorder="1" applyFont="1" applyNumberFormat="1">
      <alignment shrinkToFit="0" vertical="top" wrapText="1"/>
    </xf>
    <xf borderId="2" fillId="4" fontId="4" numFmtId="165" xfId="0" applyAlignment="1" applyBorder="1" applyFill="1" applyFont="1" applyNumberFormat="1">
      <alignment shrinkToFit="0" vertical="top" wrapText="1"/>
    </xf>
    <xf borderId="2" fillId="4" fontId="4" numFmtId="2" xfId="0" applyAlignment="1" applyBorder="1" applyFill="1" applyFont="1" applyNumberFormat="1">
      <alignment shrinkToFit="0" vertical="top" wrapText="1"/>
    </xf>
    <xf borderId="0" fillId="0" fontId="9" numFmtId="0" xfId="0" applyFont="1"/>
    <xf borderId="2" fillId="4" fontId="4" numFmtId="166" xfId="0" applyAlignment="1" applyBorder="1" applyFill="1" applyFont="1" applyNumberFormat="1">
      <alignment shrinkToFit="0" vertical="top" wrapText="1"/>
    </xf>
    <xf borderId="2" fillId="0" fontId="3" numFmtId="9" xfId="0" applyAlignment="1" applyBorder="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6.0"/>
    <col customWidth="1" min="2" max="2" width="14.0"/>
    <col customWidth="1" min="3" max="3" width="70.0"/>
    <col customWidth="1" min="4" max="4" width="12.0"/>
    <col customWidth="1" min="5" max="26" width="8.71"/>
  </cols>
  <sheetData>
    <row r="1">
      <c r="A1" s="1" t="s">
        <v>0</v>
      </c>
    </row>
    <row r="2" ht="33.0" customHeight="1">
      <c r="A2" s="2" t="s">
        <v>4</v>
      </c>
    </row>
    <row r="4" ht="33.0" customHeight="1">
      <c r="A4" s="4" t="s">
        <v>8</v>
      </c>
    </row>
    <row r="5" ht="33.0" customHeight="1">
      <c r="A5" s="3" t="s">
        <v>13</v>
      </c>
    </row>
    <row r="6" ht="33.0" customHeight="1">
      <c r="A6" s="3" t="s">
        <v>14</v>
      </c>
    </row>
    <row r="7" ht="33.0" customHeight="1">
      <c r="A7" s="3" t="s">
        <v>17</v>
      </c>
    </row>
    <row r="8" ht="33.0" customHeight="1">
      <c r="A8" s="6" t="s">
        <v>18</v>
      </c>
    </row>
    <row r="9" ht="18.0" customHeight="1">
      <c r="A9" s="3" t="s">
        <v>20</v>
      </c>
    </row>
    <row r="10" ht="18.0" customHeight="1"/>
    <row r="11">
      <c r="A11" s="3" t="s">
        <v>22</v>
      </c>
    </row>
    <row r="12">
      <c r="A12" s="5" t="s">
        <v>24</v>
      </c>
    </row>
    <row r="13" ht="18.0" customHeight="1">
      <c r="A13" s="7" t="s">
        <v>29</v>
      </c>
      <c r="B13" s="7" t="s">
        <v>33</v>
      </c>
      <c r="C13" s="7" t="s">
        <v>21</v>
      </c>
      <c r="D13" s="7" t="s">
        <v>39</v>
      </c>
    </row>
    <row r="14" ht="33.0" customHeight="1">
      <c r="A14" s="11" t="s">
        <v>44</v>
      </c>
      <c r="B14" s="11" t="s">
        <v>47</v>
      </c>
      <c r="C14" s="11" t="s">
        <v>49</v>
      </c>
      <c r="D14" s="11"/>
    </row>
    <row r="15" ht="18.0" customHeight="1">
      <c r="A15" s="11" t="s">
        <v>55</v>
      </c>
      <c r="B15" s="11" t="s">
        <v>58</v>
      </c>
      <c r="C15" s="11" t="s">
        <v>61</v>
      </c>
      <c r="D15" s="11"/>
    </row>
    <row r="16" ht="18.0" customHeight="1">
      <c r="A16" s="11" t="s">
        <v>63</v>
      </c>
      <c r="B16" s="11" t="s">
        <v>58</v>
      </c>
      <c r="C16" s="11" t="s">
        <v>65</v>
      </c>
      <c r="D16" s="11"/>
    </row>
    <row r="17" ht="18.0" customHeight="1">
      <c r="A17" s="11" t="s">
        <v>68</v>
      </c>
      <c r="B17" s="10" t="s">
        <v>71</v>
      </c>
      <c r="C17" s="11" t="s">
        <v>72</v>
      </c>
      <c r="D17" s="11" t="s">
        <v>74</v>
      </c>
    </row>
    <row r="18" ht="18.0" customHeight="1">
      <c r="A18" s="11" t="s">
        <v>77</v>
      </c>
      <c r="B18" s="11" t="s">
        <v>58</v>
      </c>
      <c r="C18" s="11" t="s">
        <v>80</v>
      </c>
      <c r="D18" s="11"/>
    </row>
    <row r="19" ht="18.0" customHeight="1">
      <c r="A19" s="11" t="s">
        <v>83</v>
      </c>
      <c r="B19" s="10" t="s">
        <v>85</v>
      </c>
      <c r="C19" s="11" t="s">
        <v>88</v>
      </c>
      <c r="D19" s="11" t="s">
        <v>90</v>
      </c>
    </row>
    <row r="20" ht="18.0" customHeight="1">
      <c r="A20" s="11" t="s">
        <v>91</v>
      </c>
      <c r="B20" s="11" t="s">
        <v>93</v>
      </c>
      <c r="C20" s="11" t="s">
        <v>95</v>
      </c>
      <c r="D20" s="11"/>
    </row>
    <row r="21" ht="18.0" customHeight="1">
      <c r="A21" s="11" t="s">
        <v>97</v>
      </c>
      <c r="B21" s="11" t="s">
        <v>58</v>
      </c>
      <c r="C21" s="11" t="s">
        <v>99</v>
      </c>
      <c r="D21" s="11"/>
    </row>
    <row r="22" ht="18.0" customHeight="1">
      <c r="A22" s="11" t="s">
        <v>102</v>
      </c>
      <c r="B22" s="10" t="s">
        <v>103</v>
      </c>
      <c r="C22" s="11" t="s">
        <v>104</v>
      </c>
      <c r="D22" s="11" t="s">
        <v>74</v>
      </c>
    </row>
    <row r="23" ht="18.0" customHeight="1">
      <c r="A23" s="11" t="s">
        <v>106</v>
      </c>
      <c r="B23" s="11" t="s">
        <v>58</v>
      </c>
      <c r="C23" s="11" t="s">
        <v>108</v>
      </c>
      <c r="D23" s="11"/>
    </row>
    <row r="24" ht="18.0" customHeight="1">
      <c r="A24" s="11" t="s">
        <v>110</v>
      </c>
      <c r="B24" s="10" t="s">
        <v>112</v>
      </c>
      <c r="C24" s="11" t="s">
        <v>114</v>
      </c>
      <c r="D24" s="11" t="s">
        <v>74</v>
      </c>
    </row>
    <row r="25" ht="18.0" customHeight="1">
      <c r="A25" s="11" t="s">
        <v>118</v>
      </c>
      <c r="B25" s="11" t="s">
        <v>93</v>
      </c>
      <c r="C25" s="11" t="s">
        <v>95</v>
      </c>
      <c r="D25" s="11"/>
    </row>
    <row r="26" ht="18.0" customHeight="1">
      <c r="A26" s="11" t="s">
        <v>123</v>
      </c>
      <c r="B26" s="11" t="s">
        <v>58</v>
      </c>
      <c r="C26" s="11" t="s">
        <v>126</v>
      </c>
      <c r="D26" s="11"/>
    </row>
    <row r="27" ht="18.0" customHeight="1">
      <c r="A27" s="11" t="s">
        <v>131</v>
      </c>
      <c r="B27" s="10" t="s">
        <v>133</v>
      </c>
      <c r="C27" s="11" t="s">
        <v>134</v>
      </c>
      <c r="D27" s="11" t="s">
        <v>74</v>
      </c>
    </row>
    <row r="28" ht="18.0" customHeight="1">
      <c r="A28" s="11" t="s">
        <v>137</v>
      </c>
      <c r="B28" s="11" t="s">
        <v>58</v>
      </c>
      <c r="C28" s="11" t="s">
        <v>140</v>
      </c>
      <c r="D28" s="11"/>
    </row>
    <row r="29" ht="33.0" customHeight="1">
      <c r="A29" s="11" t="s">
        <v>143</v>
      </c>
      <c r="B29" s="10" t="s">
        <v>146</v>
      </c>
      <c r="C29" s="11" t="s">
        <v>148</v>
      </c>
      <c r="D29" s="11" t="s">
        <v>150</v>
      </c>
    </row>
    <row r="30" ht="18.0" customHeight="1">
      <c r="A30" s="11" t="s">
        <v>152</v>
      </c>
      <c r="B30" s="11" t="s">
        <v>154</v>
      </c>
      <c r="C30" s="11" t="s">
        <v>155</v>
      </c>
      <c r="D30" s="1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D2"/>
    <mergeCell ref="A4:D4"/>
    <mergeCell ref="A5:D5"/>
    <mergeCell ref="A6:D6"/>
    <mergeCell ref="A7:D7"/>
    <mergeCell ref="A8:D8"/>
    <mergeCell ref="A9:D9"/>
    <mergeCell ref="A11:D11"/>
  </mergeCells>
  <printOptions/>
  <pageMargins bottom="1.0" footer="0.0" header="0.0" left="0.75" right="0.75" top="1.0"/>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0"/>
    <col customWidth="1" min="2" max="2" width="34.0"/>
    <col customWidth="1" min="3" max="3" width="70.0"/>
    <col customWidth="1" min="4" max="26" width="8.71"/>
  </cols>
  <sheetData>
    <row r="1">
      <c r="A1" s="1" t="s">
        <v>2</v>
      </c>
    </row>
    <row r="2" ht="33.0" customHeight="1">
      <c r="A2" s="2" t="s">
        <v>3</v>
      </c>
    </row>
    <row r="3" ht="18.0" customHeight="1">
      <c r="A3" s="3" t="s">
        <v>6</v>
      </c>
    </row>
    <row r="4" ht="18.0" customHeight="1">
      <c r="A4" s="3" t="s">
        <v>9</v>
      </c>
    </row>
    <row r="6">
      <c r="A6" s="5" t="s">
        <v>12</v>
      </c>
    </row>
    <row r="7" ht="18.0" customHeight="1">
      <c r="A7" s="7" t="s">
        <v>16</v>
      </c>
      <c r="B7" s="7" t="s">
        <v>21</v>
      </c>
      <c r="C7" s="7" t="s">
        <v>23</v>
      </c>
    </row>
    <row r="8" ht="18.0" customHeight="1">
      <c r="A8" s="10" t="s">
        <v>26</v>
      </c>
      <c r="B8" s="11" t="s">
        <v>30</v>
      </c>
      <c r="C8" s="11" t="s">
        <v>34</v>
      </c>
    </row>
    <row r="9" ht="33.0" customHeight="1">
      <c r="A9" s="10" t="s">
        <v>36</v>
      </c>
      <c r="B9" s="11" t="s">
        <v>38</v>
      </c>
      <c r="C9" s="11" t="s">
        <v>40</v>
      </c>
    </row>
    <row r="10" ht="33.0" customHeight="1">
      <c r="A10" s="10" t="s">
        <v>41</v>
      </c>
      <c r="B10" s="11" t="s">
        <v>42</v>
      </c>
      <c r="C10" s="11" t="s">
        <v>43</v>
      </c>
    </row>
    <row r="11" ht="33.0" customHeight="1">
      <c r="A11" s="10" t="s">
        <v>45</v>
      </c>
      <c r="B11" s="11" t="s">
        <v>46</v>
      </c>
      <c r="C11" s="11" t="s">
        <v>48</v>
      </c>
    </row>
    <row r="12" ht="18.0" customHeight="1">
      <c r="A12" s="10" t="s">
        <v>51</v>
      </c>
      <c r="B12" s="11" t="s">
        <v>52</v>
      </c>
      <c r="C12" s="11" t="s">
        <v>53</v>
      </c>
    </row>
    <row r="13" ht="18.0" customHeight="1">
      <c r="A13" s="10" t="s">
        <v>57</v>
      </c>
      <c r="B13" s="11" t="s">
        <v>59</v>
      </c>
      <c r="C13" s="11" t="s">
        <v>60</v>
      </c>
    </row>
    <row r="15" ht="18.0" customHeight="1">
      <c r="A15" s="4" t="s">
        <v>67</v>
      </c>
    </row>
    <row r="16" ht="18.0" customHeight="1">
      <c r="A16" s="3" t="s">
        <v>69</v>
      </c>
    </row>
    <row r="18">
      <c r="A18" s="5" t="s">
        <v>73</v>
      </c>
    </row>
    <row r="19" ht="18.0" customHeight="1">
      <c r="A19" s="7"/>
      <c r="B19" s="7" t="s">
        <v>76</v>
      </c>
      <c r="C19" s="7" t="s">
        <v>78</v>
      </c>
    </row>
    <row r="20" ht="18.0" customHeight="1">
      <c r="A20" s="11" t="s">
        <v>79</v>
      </c>
      <c r="B20" s="10" t="s">
        <v>81</v>
      </c>
      <c r="C20" s="11" t="s">
        <v>82</v>
      </c>
    </row>
    <row r="21" ht="18.0" customHeight="1">
      <c r="A21" s="11" t="s">
        <v>84</v>
      </c>
      <c r="B21" s="10" t="s">
        <v>87</v>
      </c>
      <c r="C21" s="11" t="s">
        <v>89</v>
      </c>
    </row>
    <row r="22" ht="18.0" customHeight="1">
      <c r="A22" s="11" t="s">
        <v>92</v>
      </c>
      <c r="B22" s="10" t="s">
        <v>94</v>
      </c>
      <c r="C22" s="11" t="s">
        <v>96</v>
      </c>
    </row>
    <row r="23" ht="18.0" customHeight="1">
      <c r="A23" s="13" t="s">
        <v>100</v>
      </c>
    </row>
    <row r="24" ht="15.75" customHeight="1"/>
    <row r="25" ht="15.75" customHeight="1">
      <c r="A25" s="5" t="s">
        <v>105</v>
      </c>
    </row>
    <row r="26" ht="18.0" customHeight="1">
      <c r="A26" s="7"/>
      <c r="B26" s="7" t="s">
        <v>107</v>
      </c>
      <c r="C26" s="7" t="s">
        <v>109</v>
      </c>
    </row>
    <row r="27" ht="18.0" customHeight="1">
      <c r="A27" s="11" t="s">
        <v>79</v>
      </c>
      <c r="B27" s="10" t="s">
        <v>111</v>
      </c>
      <c r="C27" s="11" t="s">
        <v>113</v>
      </c>
    </row>
    <row r="28" ht="18.0" customHeight="1">
      <c r="A28" s="11" t="s">
        <v>84</v>
      </c>
      <c r="B28" s="10" t="s">
        <v>115</v>
      </c>
      <c r="C28" s="11" t="s">
        <v>116</v>
      </c>
    </row>
    <row r="29" ht="18.0" customHeight="1">
      <c r="A29" s="11" t="s">
        <v>92</v>
      </c>
      <c r="B29" s="10" t="s">
        <v>119</v>
      </c>
      <c r="C29" s="11" t="s">
        <v>120</v>
      </c>
    </row>
    <row r="30" ht="18.0" customHeight="1">
      <c r="A30" s="11" t="s">
        <v>121</v>
      </c>
      <c r="B30" s="10" t="s">
        <v>124</v>
      </c>
      <c r="C30" s="11" t="s">
        <v>125</v>
      </c>
    </row>
    <row r="31" ht="18.0" customHeight="1">
      <c r="A31" s="11" t="s">
        <v>128</v>
      </c>
      <c r="B31" s="10" t="s">
        <v>129</v>
      </c>
      <c r="C31" s="11" t="s">
        <v>130</v>
      </c>
    </row>
    <row r="32" ht="15.75" customHeight="1"/>
    <row r="33" ht="15.75" customHeight="1">
      <c r="A33" s="5" t="s">
        <v>132</v>
      </c>
    </row>
    <row r="34" ht="18.0" customHeight="1">
      <c r="A34" s="7"/>
      <c r="B34" s="7" t="s">
        <v>135</v>
      </c>
      <c r="C34" s="7" t="s">
        <v>136</v>
      </c>
    </row>
    <row r="35" ht="18.0" customHeight="1">
      <c r="A35" s="11" t="s">
        <v>79</v>
      </c>
      <c r="B35" s="11" t="s">
        <v>138</v>
      </c>
      <c r="C35" s="11" t="s">
        <v>139</v>
      </c>
    </row>
    <row r="36" ht="18.0" customHeight="1">
      <c r="A36" s="11" t="s">
        <v>84</v>
      </c>
      <c r="B36" s="11" t="s">
        <v>142</v>
      </c>
      <c r="C36" s="11" t="s">
        <v>144</v>
      </c>
    </row>
    <row r="37" ht="18.0" customHeight="1">
      <c r="A37" s="11" t="s">
        <v>92</v>
      </c>
      <c r="B37" s="11" t="s">
        <v>147</v>
      </c>
      <c r="C37" s="11" t="s">
        <v>149</v>
      </c>
    </row>
    <row r="38" ht="18.0" customHeight="1">
      <c r="A38" s="11" t="s">
        <v>121</v>
      </c>
      <c r="B38" s="11" t="s">
        <v>151</v>
      </c>
      <c r="C38" s="11" t="s">
        <v>153</v>
      </c>
    </row>
    <row r="39" ht="18.0" customHeight="1">
      <c r="A39" s="11" t="s">
        <v>128</v>
      </c>
      <c r="B39" s="11" t="s">
        <v>156</v>
      </c>
      <c r="C39" s="11" t="s">
        <v>157</v>
      </c>
    </row>
    <row r="40" ht="18.0" customHeight="1">
      <c r="A40" s="11" t="s">
        <v>158</v>
      </c>
      <c r="B40" s="11" t="s">
        <v>159</v>
      </c>
      <c r="C40" s="11" t="s">
        <v>160</v>
      </c>
    </row>
    <row r="41" ht="18.0" customHeight="1">
      <c r="A41" s="11" t="s">
        <v>161</v>
      </c>
      <c r="B41" s="11" t="s">
        <v>162</v>
      </c>
      <c r="C41" s="11" t="s">
        <v>163</v>
      </c>
    </row>
    <row r="42" ht="18.0" customHeight="1">
      <c r="A42" s="11" t="s">
        <v>164</v>
      </c>
      <c r="B42" s="11" t="s">
        <v>165</v>
      </c>
      <c r="C42" s="11" t="s">
        <v>166</v>
      </c>
    </row>
    <row r="43" ht="18.0" customHeight="1">
      <c r="A43" s="11" t="s">
        <v>167</v>
      </c>
      <c r="B43" s="11" t="s">
        <v>168</v>
      </c>
      <c r="C43" s="11" t="s">
        <v>169</v>
      </c>
    </row>
    <row r="44" ht="18.0" customHeight="1">
      <c r="A44" s="11" t="s">
        <v>170</v>
      </c>
      <c r="B44" s="11" t="s">
        <v>171</v>
      </c>
      <c r="C44" s="11" t="s">
        <v>172</v>
      </c>
    </row>
    <row r="45" ht="18.0" customHeight="1">
      <c r="A45" s="11" t="s">
        <v>173</v>
      </c>
      <c r="B45" s="11" t="s">
        <v>174</v>
      </c>
      <c r="C45" s="11" t="s">
        <v>175</v>
      </c>
    </row>
    <row r="46" ht="33.0" customHeight="1">
      <c r="A46" s="11" t="s">
        <v>176</v>
      </c>
      <c r="B46" s="11" t="s">
        <v>177</v>
      </c>
      <c r="C46" s="11" t="s">
        <v>179</v>
      </c>
    </row>
    <row r="47" ht="18.0" customHeight="1">
      <c r="A47" s="11" t="s">
        <v>180</v>
      </c>
      <c r="B47" s="11" t="s">
        <v>181</v>
      </c>
      <c r="C47" s="11" t="s">
        <v>182</v>
      </c>
    </row>
    <row r="48" ht="18.0" customHeight="1">
      <c r="A48" s="11" t="s">
        <v>184</v>
      </c>
      <c r="B48" s="11" t="s">
        <v>185</v>
      </c>
      <c r="C48" s="11" t="s">
        <v>187</v>
      </c>
    </row>
    <row r="49" ht="33.0" customHeight="1">
      <c r="A49" s="11" t="s">
        <v>188</v>
      </c>
      <c r="B49" s="11" t="s">
        <v>189</v>
      </c>
      <c r="C49" s="11" t="s">
        <v>190</v>
      </c>
    </row>
    <row r="50" ht="18.0" customHeight="1">
      <c r="A50" s="11" t="s">
        <v>192</v>
      </c>
      <c r="B50" s="11" t="s">
        <v>193</v>
      </c>
      <c r="C50" s="11" t="s">
        <v>194</v>
      </c>
    </row>
    <row r="51" ht="18.0" customHeight="1">
      <c r="A51" s="11" t="s">
        <v>195</v>
      </c>
      <c r="B51" s="11" t="s">
        <v>196</v>
      </c>
      <c r="C51" s="11" t="s">
        <v>197</v>
      </c>
    </row>
    <row r="52" ht="18.0" customHeight="1">
      <c r="A52" s="11" t="s">
        <v>198</v>
      </c>
      <c r="B52" s="11" t="s">
        <v>199</v>
      </c>
      <c r="C52" s="11" t="s">
        <v>200</v>
      </c>
    </row>
    <row r="53" ht="18.0" customHeight="1">
      <c r="A53" s="11" t="s">
        <v>201</v>
      </c>
      <c r="B53" s="11" t="s">
        <v>202</v>
      </c>
      <c r="C53" s="11" t="s">
        <v>203</v>
      </c>
    </row>
    <row r="54" ht="18.0" customHeight="1">
      <c r="A54" s="11" t="s">
        <v>204</v>
      </c>
      <c r="B54" s="11" t="s">
        <v>205</v>
      </c>
      <c r="C54" s="11" t="s">
        <v>206</v>
      </c>
    </row>
    <row r="55" ht="18.0" customHeight="1">
      <c r="A55" s="11" t="s">
        <v>207</v>
      </c>
      <c r="B55" s="11" t="s">
        <v>208</v>
      </c>
      <c r="C55" s="11" t="s">
        <v>209</v>
      </c>
    </row>
    <row r="56" ht="18.0" customHeight="1">
      <c r="A56" s="11" t="s">
        <v>210</v>
      </c>
      <c r="B56" s="11" t="s">
        <v>212</v>
      </c>
      <c r="C56" s="11" t="s">
        <v>213</v>
      </c>
    </row>
    <row r="57" ht="18.0" customHeight="1">
      <c r="A57" s="11" t="s">
        <v>215</v>
      </c>
      <c r="B57" s="11" t="s">
        <v>216</v>
      </c>
      <c r="C57" s="11" t="s">
        <v>217</v>
      </c>
    </row>
    <row r="58" ht="18.0" customHeight="1">
      <c r="A58" s="11" t="s">
        <v>218</v>
      </c>
      <c r="B58" s="11" t="s">
        <v>219</v>
      </c>
      <c r="C58" s="11" t="s">
        <v>220</v>
      </c>
    </row>
    <row r="59" ht="18.0" customHeight="1">
      <c r="A59" s="11" t="s">
        <v>221</v>
      </c>
      <c r="B59" s="11" t="s">
        <v>222</v>
      </c>
      <c r="C59" s="11" t="s">
        <v>223</v>
      </c>
    </row>
    <row r="60" ht="18.0" customHeight="1">
      <c r="A60" s="11" t="s">
        <v>178</v>
      </c>
      <c r="B60" s="11" t="s">
        <v>224</v>
      </c>
      <c r="C60" s="11" t="s">
        <v>225</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C2"/>
    <mergeCell ref="A3:C3"/>
    <mergeCell ref="A4:C4"/>
    <mergeCell ref="A15:C15"/>
    <mergeCell ref="A16:C16"/>
    <mergeCell ref="A23:C23"/>
  </mergeCells>
  <printOptions/>
  <pageMargins bottom="1.0" footer="0.0" header="0.0" left="0.75" right="0.75" top="1.0"/>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1</v>
      </c>
    </row>
    <row r="2" ht="18.0" customHeight="1">
      <c r="A2" s="2" t="s">
        <v>5</v>
      </c>
    </row>
    <row r="4" ht="18.0" customHeight="1">
      <c r="A4" s="3" t="s">
        <v>7</v>
      </c>
    </row>
    <row r="5" ht="18.0" customHeight="1">
      <c r="A5" s="3" t="s">
        <v>10</v>
      </c>
    </row>
    <row r="6" ht="18.0" customHeight="1">
      <c r="A6" s="3" t="s">
        <v>11</v>
      </c>
    </row>
    <row r="8" ht="33.0" customHeight="1">
      <c r="A8" s="8" t="s">
        <v>15</v>
      </c>
      <c r="B8" s="9"/>
      <c r="C8" s="7" t="s">
        <v>27</v>
      </c>
      <c r="D8" s="7" t="s">
        <v>31</v>
      </c>
      <c r="E8" s="7" t="s">
        <v>32</v>
      </c>
    </row>
    <row r="9" ht="18.0" customHeight="1">
      <c r="A9" s="12" t="s">
        <v>37</v>
      </c>
      <c r="B9" s="9"/>
      <c r="C9" s="11">
        <v>20.0</v>
      </c>
      <c r="D9" s="11">
        <v>16.0</v>
      </c>
      <c r="E9" s="11">
        <v>19.0</v>
      </c>
    </row>
    <row r="10" ht="18.0" customHeight="1">
      <c r="A10" s="12" t="s">
        <v>56</v>
      </c>
      <c r="B10" s="9"/>
      <c r="C10" s="11">
        <v>20.0</v>
      </c>
      <c r="D10" s="11">
        <v>15.0</v>
      </c>
      <c r="E10" s="11">
        <v>17.0</v>
      </c>
    </row>
    <row r="11" ht="18.0" customHeight="1">
      <c r="A11" s="12" t="s">
        <v>86</v>
      </c>
      <c r="B11" s="9"/>
      <c r="C11" s="11">
        <v>10.0</v>
      </c>
      <c r="D11" s="11">
        <v>9.0</v>
      </c>
      <c r="E11" s="11">
        <v>6.0</v>
      </c>
    </row>
    <row r="12" ht="18.0" customHeight="1">
      <c r="A12" s="14" t="s">
        <v>101</v>
      </c>
      <c r="B12" s="9"/>
      <c r="C12" s="10">
        <v>50.0</v>
      </c>
      <c r="D12" s="10">
        <v>40.0</v>
      </c>
      <c r="E12" s="10">
        <v>42.0</v>
      </c>
    </row>
    <row r="14" ht="33.0" customHeight="1">
      <c r="A14" s="3" t="s">
        <v>117</v>
      </c>
    </row>
    <row r="15" ht="33.0" customHeight="1">
      <c r="A15" s="3" t="s">
        <v>122</v>
      </c>
    </row>
    <row r="16" ht="18.0" customHeight="1">
      <c r="A16" s="3" t="s">
        <v>127</v>
      </c>
    </row>
    <row r="18" ht="18.0" customHeight="1">
      <c r="A18" s="7" t="s">
        <v>50</v>
      </c>
      <c r="B18" s="7" t="s">
        <v>54</v>
      </c>
      <c r="C18" s="7" t="s">
        <v>62</v>
      </c>
      <c r="D18" s="7" t="s">
        <v>64</v>
      </c>
      <c r="E18" s="7" t="s">
        <v>66</v>
      </c>
    </row>
    <row r="19" ht="33.0" customHeight="1">
      <c r="A19" s="10" t="s">
        <v>141</v>
      </c>
      <c r="B19" s="11" t="s">
        <v>145</v>
      </c>
      <c r="C19" s="17">
        <v>2.0</v>
      </c>
      <c r="D19" s="16" t="str">
        <f>IF(C19="","",IF(ISNUMBER(C19),IF(ABS(C19-2)&lt;=0.01,"Đúng","Chưa đúng"),"Gõ một số"))</f>
        <v>Đúng</v>
      </c>
      <c r="E19" s="11" t="s">
        <v>198</v>
      </c>
    </row>
    <row r="20" ht="18.0" customHeight="1">
      <c r="A20" s="10" t="s">
        <v>228</v>
      </c>
      <c r="B20" s="11" t="s">
        <v>229</v>
      </c>
      <c r="C20" s="18">
        <v>0.84</v>
      </c>
      <c r="D20" s="16" t="str">
        <f>IF(C20="","",IF(ISNUMBER(C20),IF(OR(ABS(C20-0.84)&lt;=0.006,ABS(C20-84)&lt;=0.6),"Đúng","Chưa đúng"),"Gõ một số"))</f>
        <v>Đúng</v>
      </c>
      <c r="E20" s="11" t="s">
        <v>198</v>
      </c>
    </row>
    <row r="21" ht="18.0" customHeight="1">
      <c r="A21" s="10" t="s">
        <v>239</v>
      </c>
      <c r="B21" s="11" t="s">
        <v>240</v>
      </c>
      <c r="C21" s="15" t="s">
        <v>191</v>
      </c>
      <c r="D21" s="16" t="str">
        <f>IF(C21="","",IF(C21="Có","Đúng","Chưa đúng"))</f>
        <v>Đúng</v>
      </c>
      <c r="E21" s="11" t="s">
        <v>198</v>
      </c>
    </row>
    <row r="22" ht="18.0" customHeight="1">
      <c r="A22" s="10" t="s">
        <v>243</v>
      </c>
      <c r="B22" s="11" t="s">
        <v>244</v>
      </c>
      <c r="C22" s="18">
        <v>0.6</v>
      </c>
      <c r="D22" s="16" t="str">
        <f>IF(C22="","",IF(ISNUMBER(C22),IF(OR(ABS(C22-0.6)&lt;=0.006,ABS(C22-60)&lt;=0.6),"Đúng","Chưa đúng"),"Gõ một số"))</f>
        <v>Đúng</v>
      </c>
      <c r="E22" s="11" t="s">
        <v>198</v>
      </c>
    </row>
    <row r="23" ht="18.0" customHeight="1">
      <c r="A23" s="10" t="s">
        <v>248</v>
      </c>
      <c r="B23" s="11" t="s">
        <v>250</v>
      </c>
      <c r="C23" s="17">
        <v>30.0</v>
      </c>
      <c r="D23" s="16" t="str">
        <f>IF(C23="","",IF(ISNUMBER(C23),IF(ABS(C23-30)&lt;=0.01,"Đúng","Chưa đúng"),"Gõ một số"))</f>
        <v>Đúng</v>
      </c>
      <c r="E23" s="11" t="s">
        <v>198</v>
      </c>
    </row>
    <row r="24" ht="18.0" customHeight="1">
      <c r="A24" s="10" t="s">
        <v>259</v>
      </c>
      <c r="B24" s="11" t="s">
        <v>260</v>
      </c>
      <c r="C24" s="15" t="s">
        <v>261</v>
      </c>
      <c r="D24" s="16" t="str">
        <f>IF(C24="","",IF(C24="B","Đúng","Chưa đúng"))</f>
        <v>Đúng</v>
      </c>
      <c r="E24" s="11" t="s">
        <v>198</v>
      </c>
    </row>
    <row r="25" ht="33.0" customHeight="1">
      <c r="A25" s="10" t="s">
        <v>264</v>
      </c>
      <c r="B25" s="11" t="s">
        <v>265</v>
      </c>
      <c r="C25" s="15" t="s">
        <v>267</v>
      </c>
      <c r="D25" s="16" t="str">
        <f>IF(C25="","",IF(C25="Khoảng 1.000 ca","Đúng","Chưa đúng"))</f>
        <v>Đúng</v>
      </c>
      <c r="E25" s="11" t="s">
        <v>198</v>
      </c>
    </row>
    <row r="26" ht="33.0" customHeight="1">
      <c r="A26" s="10" t="s">
        <v>268</v>
      </c>
      <c r="B26" s="11" t="s">
        <v>269</v>
      </c>
      <c r="C26" s="15" t="s">
        <v>261</v>
      </c>
      <c r="D26" s="16" t="str">
        <f>IF(C26="","",IF(C26="B","Đúng","Chưa đúng"))</f>
        <v>Đúng</v>
      </c>
      <c r="E26" s="11" t="s">
        <v>215</v>
      </c>
    </row>
    <row r="27" ht="33.0" customHeight="1">
      <c r="A27" s="10" t="s">
        <v>271</v>
      </c>
      <c r="B27" s="11" t="s">
        <v>272</v>
      </c>
      <c r="C27" s="15" t="s">
        <v>273</v>
      </c>
      <c r="D27" s="16" t="str">
        <f>IF(C27="","",IF(C27="Trục 2","Đúng","Chưa đúng"))</f>
        <v>Đúng</v>
      </c>
      <c r="E27" s="11" t="s">
        <v>215</v>
      </c>
    </row>
    <row r="28" ht="15.75" customHeight="1"/>
    <row r="29" ht="18.0" customHeight="1">
      <c r="A29" s="14" t="s">
        <v>266</v>
      </c>
      <c r="B29" s="9"/>
      <c r="C29" s="19">
        <f>COUNTIF(D19:D27,"Đúng")</f>
        <v>9</v>
      </c>
      <c r="D29" s="11" t="s">
        <v>274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11:B11"/>
    <mergeCell ref="A12:B12"/>
    <mergeCell ref="A14:E14"/>
    <mergeCell ref="A15:E15"/>
    <mergeCell ref="A16:E16"/>
    <mergeCell ref="A29:B29"/>
    <mergeCell ref="A2:E2"/>
    <mergeCell ref="A4:E4"/>
    <mergeCell ref="A5:E5"/>
    <mergeCell ref="A6:E6"/>
    <mergeCell ref="A8:B8"/>
    <mergeCell ref="A9:B9"/>
    <mergeCell ref="A10:B10"/>
  </mergeCells>
  <dataValidations>
    <dataValidation type="list" allowBlank="1" sqref="C21">
      <formula1>'_ds'!$A$1:$A$2</formula1>
    </dataValidation>
    <dataValidation type="list" allowBlank="1" sqref="C24 C26">
      <formula1>'_ds'!$B$1:$B$3</formula1>
    </dataValidation>
    <dataValidation type="list" allowBlank="1" sqref="C27">
      <formula1>'_ds'!$D$1:$D$3</formula1>
    </dataValidation>
    <dataValidation type="list" allowBlank="1" sqref="C25">
      <formula1>'_ds'!$C$1:$C$3</formula1>
    </dataValidation>
  </dataValidations>
  <printOptions/>
  <pageMargins bottom="1.0" footer="0.0" header="0.0" left="0.75" right="0.75" top="1.0"/>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19</v>
      </c>
    </row>
    <row r="2" ht="18.0" customHeight="1">
      <c r="A2" s="2" t="s">
        <v>5</v>
      </c>
    </row>
    <row r="4" ht="18.0" customHeight="1">
      <c r="A4" s="3" t="s">
        <v>25</v>
      </c>
    </row>
    <row r="5" ht="18.0" customHeight="1">
      <c r="A5" s="3" t="s">
        <v>28</v>
      </c>
    </row>
    <row r="7" ht="33.0" customHeight="1">
      <c r="A7" s="3" t="s">
        <v>35</v>
      </c>
    </row>
    <row r="9" ht="18.0" customHeight="1">
      <c r="A9" s="7" t="s">
        <v>50</v>
      </c>
      <c r="B9" s="7" t="s">
        <v>54</v>
      </c>
      <c r="C9" s="7" t="s">
        <v>62</v>
      </c>
      <c r="D9" s="7" t="s">
        <v>64</v>
      </c>
      <c r="E9" s="7" t="s">
        <v>66</v>
      </c>
    </row>
    <row r="10" ht="18.0" customHeight="1">
      <c r="A10" s="10" t="s">
        <v>70</v>
      </c>
      <c r="B10" s="11" t="s">
        <v>75</v>
      </c>
      <c r="C10" s="15" t="s">
        <v>98</v>
      </c>
      <c r="D10" s="16" t="str">
        <f>IF(C10="","",IF(C10="Không","Đúng","Chưa đúng"))</f>
        <v>Đúng</v>
      </c>
      <c r="E10" s="11" t="s">
        <v>178</v>
      </c>
    </row>
    <row r="11" ht="33.0" customHeight="1">
      <c r="A11" s="10" t="s">
        <v>183</v>
      </c>
      <c r="B11" s="11" t="s">
        <v>186</v>
      </c>
      <c r="C11" s="15" t="s">
        <v>191</v>
      </c>
      <c r="D11" s="16" t="str">
        <f>IF(C11="","",IF(C11="Có","Đúng","Chưa đúng"))</f>
        <v>Đúng</v>
      </c>
      <c r="E11" s="11" t="s">
        <v>178</v>
      </c>
    </row>
    <row r="12" ht="18.0" customHeight="1">
      <c r="A12" s="10" t="s">
        <v>211</v>
      </c>
      <c r="B12" s="11" t="s">
        <v>214</v>
      </c>
      <c r="C12" s="15" t="s">
        <v>98</v>
      </c>
      <c r="D12" s="16" t="str">
        <f>IF(C12="","",IF(C12="Không","Đúng","Chưa đúng"))</f>
        <v>Đúng</v>
      </c>
      <c r="E12" s="11" t="s">
        <v>178</v>
      </c>
    </row>
    <row r="13" ht="33.0" customHeight="1">
      <c r="A13" s="10" t="s">
        <v>226</v>
      </c>
      <c r="B13" s="11" t="s">
        <v>227</v>
      </c>
      <c r="C13" s="15" t="s">
        <v>191</v>
      </c>
      <c r="D13" s="16" t="str">
        <f t="shared" ref="D13:D14" si="1">IF(C13="","",IF(C13="Có","Đúng","Chưa đúng"))</f>
        <v>Đúng</v>
      </c>
      <c r="E13" s="11" t="s">
        <v>178</v>
      </c>
    </row>
    <row r="14" ht="33.0" customHeight="1">
      <c r="A14" s="10" t="s">
        <v>230</v>
      </c>
      <c r="B14" s="11" t="s">
        <v>231</v>
      </c>
      <c r="C14" s="15" t="s">
        <v>191</v>
      </c>
      <c r="D14" s="16" t="str">
        <f t="shared" si="1"/>
        <v>Đúng</v>
      </c>
      <c r="E14" s="11" t="s">
        <v>178</v>
      </c>
    </row>
    <row r="15" ht="33.0" customHeight="1">
      <c r="A15" s="10" t="s">
        <v>232</v>
      </c>
      <c r="B15" s="11" t="s">
        <v>233</v>
      </c>
      <c r="C15" s="15" t="s">
        <v>98</v>
      </c>
      <c r="D15" s="16" t="str">
        <f>IF(C15="","",IF(C15="Không","Đúng","Chưa đúng"))</f>
        <v>Đúng</v>
      </c>
      <c r="E15" s="11" t="s">
        <v>178</v>
      </c>
    </row>
    <row r="16" ht="48.0" customHeight="1">
      <c r="A16" s="10" t="s">
        <v>234</v>
      </c>
      <c r="B16" s="11" t="s">
        <v>235</v>
      </c>
      <c r="C16" s="17">
        <v>36.0</v>
      </c>
      <c r="D16" s="16" t="str">
        <f>IF(C16="","",IF(ISNUMBER(C16),IF(ABS(C16-36)&lt;=0.01,"Đúng","Chưa đúng"),"Gõ một số"))</f>
        <v>Đúng</v>
      </c>
      <c r="E16" s="11" t="s">
        <v>236</v>
      </c>
    </row>
    <row r="17" ht="18.0" customHeight="1">
      <c r="A17" s="10" t="s">
        <v>237</v>
      </c>
      <c r="B17" s="11" t="s">
        <v>238</v>
      </c>
      <c r="C17" s="17">
        <v>24.0</v>
      </c>
      <c r="D17" s="16" t="str">
        <f>IF(C17="","",IF(ISNUMBER(C17),IF(ABS(C17-24)&lt;=0.01,"Đúng","Chưa đúng"),"Gõ một số"))</f>
        <v>Đúng</v>
      </c>
      <c r="E17" s="11" t="s">
        <v>236</v>
      </c>
    </row>
    <row r="18" ht="33.0" customHeight="1">
      <c r="A18" s="10" t="s">
        <v>241</v>
      </c>
      <c r="B18" s="11" t="s">
        <v>242</v>
      </c>
      <c r="C18" s="17">
        <v>48.0</v>
      </c>
      <c r="D18" s="16" t="str">
        <f>IF(C18="","",IF(ISNUMBER(C18),IF(ABS(C18-48)&lt;=0.01,"Đúng","Chưa đúng"),"Gõ một số"))</f>
        <v>Đúng</v>
      </c>
      <c r="E18" s="11" t="s">
        <v>236</v>
      </c>
    </row>
    <row r="19" ht="33.0" customHeight="1">
      <c r="A19" s="10" t="s">
        <v>245</v>
      </c>
      <c r="B19" s="11" t="s">
        <v>246</v>
      </c>
      <c r="C19" s="15" t="s">
        <v>247</v>
      </c>
      <c r="D19" s="16" t="str">
        <f>IF(C19="","",IF(C19="Đại diện","Đúng","Chưa đúng"))</f>
        <v>Đúng</v>
      </c>
      <c r="E19" s="11" t="s">
        <v>249</v>
      </c>
    </row>
    <row r="20" ht="33.0" customHeight="1">
      <c r="A20" s="10" t="s">
        <v>251</v>
      </c>
      <c r="B20" s="11" t="s">
        <v>252</v>
      </c>
      <c r="C20" s="15" t="s">
        <v>253</v>
      </c>
      <c r="D20" s="16" t="str">
        <f t="shared" ref="D20:D21" si="2">IF(C20="","",IF(C20="Thử thách","Đúng","Chưa đúng"))</f>
        <v>Đúng</v>
      </c>
      <c r="E20" s="11" t="s">
        <v>249</v>
      </c>
    </row>
    <row r="21" ht="33.0" customHeight="1">
      <c r="A21" s="10" t="s">
        <v>254</v>
      </c>
      <c r="B21" s="11" t="s">
        <v>255</v>
      </c>
      <c r="C21" s="15" t="s">
        <v>253</v>
      </c>
      <c r="D21" s="16" t="str">
        <f t="shared" si="2"/>
        <v>Đúng</v>
      </c>
      <c r="E21" s="11" t="s">
        <v>249</v>
      </c>
    </row>
    <row r="22" ht="48.0" customHeight="1">
      <c r="A22" s="10" t="s">
        <v>256</v>
      </c>
      <c r="B22" s="11" t="s">
        <v>257</v>
      </c>
      <c r="C22" s="15" t="s">
        <v>258</v>
      </c>
      <c r="D22" s="16" t="str">
        <f>IF(C22="","",IF(C22="Hồi quy nghiêm trọng","Đúng","Chưa đúng"))</f>
        <v>Đúng</v>
      </c>
      <c r="E22" s="11" t="s">
        <v>249</v>
      </c>
    </row>
    <row r="23" ht="18.0" customHeight="1">
      <c r="A23" s="10" t="s">
        <v>262</v>
      </c>
      <c r="B23" s="11" t="s">
        <v>263</v>
      </c>
      <c r="C23" s="15" t="s">
        <v>261</v>
      </c>
      <c r="D23" s="16" t="str">
        <f>IF(C23="","",IF(C23="B","Đúng","Chưa đúng"))</f>
        <v>Đúng</v>
      </c>
      <c r="E23" s="11" t="s">
        <v>221</v>
      </c>
    </row>
    <row r="24" ht="15.75" customHeight="1"/>
    <row r="25" ht="18.0" customHeight="1">
      <c r="A25" s="14" t="s">
        <v>266</v>
      </c>
      <c r="B25" s="9"/>
      <c r="C25" s="19">
        <f>COUNTIF(D10:D23,"Đúng")</f>
        <v>14</v>
      </c>
      <c r="D25" s="11" t="s">
        <v>270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E2"/>
    <mergeCell ref="A4:E4"/>
    <mergeCell ref="A5:E5"/>
    <mergeCell ref="A7:E7"/>
    <mergeCell ref="A25:B25"/>
  </mergeCells>
  <dataValidations>
    <dataValidation type="list" allowBlank="1" sqref="C10:C15">
      <formula1>'_ds'!$A$1:$A$2</formula1>
    </dataValidation>
    <dataValidation type="list" allowBlank="1" sqref="C23">
      <formula1>'_ds'!$B$1:$B$3</formula1>
    </dataValidation>
    <dataValidation type="list" allowBlank="1" sqref="C19:C22">
      <formula1>'_ds'!$E$1:$E$3</formula1>
    </dataValidation>
  </dataValidations>
  <printOptions/>
  <pageMargins bottom="1.0" footer="0.0" header="0.0" left="0.75" right="0.75" top="1.0"/>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275</v>
      </c>
    </row>
    <row r="2" ht="18.0" customHeight="1">
      <c r="A2" s="2" t="s">
        <v>5</v>
      </c>
    </row>
    <row r="4" ht="33.0" customHeight="1">
      <c r="A4" s="3" t="s">
        <v>276</v>
      </c>
    </row>
    <row r="5" ht="18.0" customHeight="1">
      <c r="A5" s="3" t="s">
        <v>278</v>
      </c>
    </row>
    <row r="7" ht="18.0" customHeight="1">
      <c r="A7" s="7" t="s">
        <v>279</v>
      </c>
      <c r="B7" s="8" t="s">
        <v>280</v>
      </c>
      <c r="C7" s="20"/>
      <c r="D7" s="20"/>
      <c r="E7" s="9"/>
    </row>
    <row r="8" ht="18.0" customHeight="1">
      <c r="A8" s="10" t="s">
        <v>283</v>
      </c>
      <c r="B8" s="12" t="s">
        <v>285</v>
      </c>
      <c r="C8" s="20"/>
      <c r="D8" s="20"/>
      <c r="E8" s="9"/>
    </row>
    <row r="9" ht="18.0" customHeight="1">
      <c r="A9" s="10"/>
      <c r="B9" s="12" t="s">
        <v>287</v>
      </c>
      <c r="C9" s="20"/>
      <c r="D9" s="20"/>
      <c r="E9" s="9"/>
    </row>
    <row r="10" ht="18.0" customHeight="1">
      <c r="A10" s="10"/>
      <c r="B10" s="12" t="s">
        <v>290</v>
      </c>
      <c r="C10" s="20"/>
      <c r="D10" s="20"/>
      <c r="E10" s="9"/>
    </row>
    <row r="11" ht="18.0" customHeight="1">
      <c r="A11" s="10"/>
      <c r="B11" s="12" t="s">
        <v>294</v>
      </c>
      <c r="C11" s="20"/>
      <c r="D11" s="20"/>
      <c r="E11" s="9"/>
    </row>
    <row r="12" ht="18.0" customHeight="1">
      <c r="A12" s="10"/>
      <c r="B12" s="12" t="s">
        <v>299</v>
      </c>
      <c r="C12" s="20"/>
      <c r="D12" s="20"/>
      <c r="E12" s="9"/>
    </row>
    <row r="13" ht="18.0" customHeight="1">
      <c r="A13" s="10" t="s">
        <v>303</v>
      </c>
      <c r="B13" s="12" t="s">
        <v>305</v>
      </c>
      <c r="C13" s="20"/>
      <c r="D13" s="20"/>
      <c r="E13" s="9"/>
    </row>
    <row r="14" ht="18.0" customHeight="1">
      <c r="A14" s="10"/>
      <c r="B14" s="12" t="s">
        <v>307</v>
      </c>
      <c r="C14" s="20"/>
      <c r="D14" s="20"/>
      <c r="E14" s="9"/>
    </row>
    <row r="15" ht="18.0" customHeight="1">
      <c r="A15" s="10"/>
      <c r="B15" s="12" t="s">
        <v>312</v>
      </c>
      <c r="C15" s="20"/>
      <c r="D15" s="20"/>
      <c r="E15" s="9"/>
    </row>
    <row r="16" ht="18.0" customHeight="1">
      <c r="A16" s="10"/>
      <c r="B16" s="12" t="s">
        <v>313</v>
      </c>
      <c r="C16" s="20"/>
      <c r="D16" s="20"/>
      <c r="E16" s="9"/>
    </row>
    <row r="17" ht="18.0" customHeight="1">
      <c r="A17" s="10" t="s">
        <v>314</v>
      </c>
      <c r="B17" s="12" t="s">
        <v>316</v>
      </c>
      <c r="C17" s="20"/>
      <c r="D17" s="20"/>
      <c r="E17" s="9"/>
    </row>
    <row r="18" ht="18.0" customHeight="1">
      <c r="A18" s="10"/>
      <c r="B18" s="12" t="s">
        <v>318</v>
      </c>
      <c r="C18" s="20"/>
      <c r="D18" s="20"/>
      <c r="E18" s="9"/>
    </row>
    <row r="19" ht="18.0" customHeight="1">
      <c r="A19" s="10"/>
      <c r="B19" s="12" t="s">
        <v>320</v>
      </c>
      <c r="C19" s="20"/>
      <c r="D19" s="20"/>
      <c r="E19" s="9"/>
    </row>
    <row r="20" ht="18.0" customHeight="1">
      <c r="A20" s="10"/>
      <c r="B20" s="12" t="s">
        <v>321</v>
      </c>
      <c r="C20" s="20"/>
      <c r="D20" s="20"/>
      <c r="E20" s="9"/>
    </row>
    <row r="21" ht="18.0" customHeight="1">
      <c r="A21" s="10" t="s">
        <v>322</v>
      </c>
      <c r="B21" s="12" t="s">
        <v>323</v>
      </c>
      <c r="C21" s="20"/>
      <c r="D21" s="20"/>
      <c r="E21" s="9"/>
    </row>
    <row r="22" ht="18.0" customHeight="1">
      <c r="A22" s="10"/>
      <c r="B22" s="12" t="s">
        <v>324</v>
      </c>
      <c r="C22" s="20"/>
      <c r="D22" s="20"/>
      <c r="E22" s="9"/>
    </row>
    <row r="23" ht="18.0" customHeight="1">
      <c r="A23" s="10"/>
      <c r="B23" s="12" t="s">
        <v>327</v>
      </c>
      <c r="C23" s="20"/>
      <c r="D23" s="20"/>
      <c r="E23" s="9"/>
    </row>
    <row r="24" ht="18.0" customHeight="1">
      <c r="A24" s="10"/>
      <c r="B24" s="12" t="s">
        <v>330</v>
      </c>
      <c r="C24" s="20"/>
      <c r="D24" s="20"/>
      <c r="E24" s="9"/>
    </row>
    <row r="25" ht="15.75" customHeight="1"/>
    <row r="26" ht="33.0" customHeight="1">
      <c r="A26" s="3" t="s">
        <v>331</v>
      </c>
    </row>
    <row r="27" ht="15.75" customHeight="1"/>
    <row r="28" ht="18.0" customHeight="1">
      <c r="A28" s="7" t="s">
        <v>50</v>
      </c>
      <c r="B28" s="7" t="s">
        <v>54</v>
      </c>
      <c r="C28" s="7" t="s">
        <v>62</v>
      </c>
      <c r="D28" s="7" t="s">
        <v>64</v>
      </c>
      <c r="E28" s="7" t="s">
        <v>66</v>
      </c>
    </row>
    <row r="29" ht="18.0" customHeight="1">
      <c r="A29" s="10" t="s">
        <v>334</v>
      </c>
      <c r="B29" s="11" t="s">
        <v>335</v>
      </c>
      <c r="C29" s="17">
        <v>2.0</v>
      </c>
      <c r="D29" s="16" t="str">
        <f>IF(C29="","",IF(ISNUMBER(C29),IF(ABS(C29-2)&lt;=0.01,"Đúng","Chưa đúng"),"Gõ một số"))</f>
        <v>Đúng</v>
      </c>
      <c r="E29" s="11" t="s">
        <v>343</v>
      </c>
    </row>
    <row r="30" ht="33.0" customHeight="1">
      <c r="A30" s="10" t="s">
        <v>345</v>
      </c>
      <c r="B30" s="11" t="s">
        <v>347</v>
      </c>
      <c r="C30" s="15" t="s">
        <v>111</v>
      </c>
      <c r="D30" s="16" t="str">
        <f>IF(C30="","",IF(C30="wrong_intent","Đúng","Chưa đúng"))</f>
        <v>Đúng</v>
      </c>
      <c r="E30" s="11" t="s">
        <v>355</v>
      </c>
    </row>
    <row r="31" ht="18.0" customHeight="1">
      <c r="A31" s="10" t="s">
        <v>356</v>
      </c>
      <c r="B31" s="11" t="s">
        <v>357</v>
      </c>
      <c r="C31" s="17">
        <v>3.0</v>
      </c>
      <c r="D31" s="16" t="str">
        <f>IF(C31="","",IF(ISNUMBER(C31),IF(ABS(C31-3)&lt;=0.01,"Đúng","Chưa đúng"),"Gõ một số"))</f>
        <v>Đúng</v>
      </c>
      <c r="E31" s="11" t="s">
        <v>343</v>
      </c>
    </row>
    <row r="32" ht="33.0" customHeight="1">
      <c r="A32" s="10" t="s">
        <v>363</v>
      </c>
      <c r="B32" s="11" t="s">
        <v>365</v>
      </c>
      <c r="C32" s="15" t="s">
        <v>115</v>
      </c>
      <c r="D32" s="16" t="str">
        <f>IF(C32="","",IF(C32="missing_lookup","Đúng","Chưa đúng"))</f>
        <v>Đúng</v>
      </c>
      <c r="E32" s="11" t="s">
        <v>355</v>
      </c>
    </row>
    <row r="33" ht="18.0" customHeight="1">
      <c r="A33" s="10" t="s">
        <v>370</v>
      </c>
      <c r="B33" s="11" t="s">
        <v>371</v>
      </c>
      <c r="C33" s="17">
        <v>4.0</v>
      </c>
      <c r="D33" s="16" t="str">
        <f>IF(C33="","",IF(ISNUMBER(C33),IF(ABS(C33-4)&lt;=0.01,"Đúng","Chưa đúng"),"Gõ một số"))</f>
        <v>Đúng</v>
      </c>
      <c r="E33" s="11" t="s">
        <v>343</v>
      </c>
    </row>
    <row r="34" ht="33.0" customHeight="1">
      <c r="A34" s="10" t="s">
        <v>376</v>
      </c>
      <c r="B34" s="11" t="s">
        <v>377</v>
      </c>
      <c r="C34" s="15" t="s">
        <v>124</v>
      </c>
      <c r="D34" s="16" t="str">
        <f>IF(C34="","",IF(C34="missing_escalation","Đúng","Chưa đúng"))</f>
        <v>Đúng</v>
      </c>
      <c r="E34" s="11" t="s">
        <v>355</v>
      </c>
    </row>
    <row r="35" ht="18.0" customHeight="1">
      <c r="A35" s="10" t="s">
        <v>380</v>
      </c>
      <c r="B35" s="11" t="s">
        <v>381</v>
      </c>
      <c r="C35" s="17">
        <v>4.0</v>
      </c>
      <c r="D35" s="16" t="str">
        <f>IF(C35="","",IF(ISNUMBER(C35),IF(ABS(C35-4)&lt;=0.01,"Đúng","Chưa đúng"),"Gõ một số"))</f>
        <v>Đúng</v>
      </c>
      <c r="E35" s="11" t="s">
        <v>343</v>
      </c>
    </row>
    <row r="36" ht="33.0" customHeight="1">
      <c r="A36" s="10" t="s">
        <v>386</v>
      </c>
      <c r="B36" s="11" t="s">
        <v>387</v>
      </c>
      <c r="C36" s="15" t="s">
        <v>129</v>
      </c>
      <c r="D36" s="16" t="str">
        <f>IF(C36="","",IF(C36="no_next_step","Đúng","Chưa đúng"))</f>
        <v>Đúng</v>
      </c>
      <c r="E36" s="11" t="s">
        <v>355</v>
      </c>
    </row>
    <row r="37" ht="18.0" customHeight="1">
      <c r="A37" s="10" t="s">
        <v>392</v>
      </c>
      <c r="B37" s="11" t="s">
        <v>393</v>
      </c>
      <c r="C37" s="15" t="s">
        <v>394</v>
      </c>
      <c r="D37" s="16" t="str">
        <f>IF(C37="","",IF(C37="A","Đúng","Chưa đúng"))</f>
        <v>Đúng</v>
      </c>
      <c r="E37" s="11" t="s">
        <v>398</v>
      </c>
    </row>
    <row r="38" ht="15.75" customHeight="1"/>
    <row r="39" ht="18.0" customHeight="1">
      <c r="A39" s="14" t="s">
        <v>266</v>
      </c>
      <c r="B39" s="9"/>
      <c r="C39" s="19">
        <f>COUNTIF(D29:D37,"Đúng")</f>
        <v>9</v>
      </c>
      <c r="D39" s="11" t="s">
        <v>274</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E2"/>
    <mergeCell ref="A4:E4"/>
    <mergeCell ref="A5:E5"/>
    <mergeCell ref="B7:E7"/>
    <mergeCell ref="B8:E8"/>
    <mergeCell ref="B9:E9"/>
    <mergeCell ref="B10:E10"/>
    <mergeCell ref="B11:E11"/>
    <mergeCell ref="B12:E12"/>
    <mergeCell ref="B13:E13"/>
    <mergeCell ref="B14:E14"/>
    <mergeCell ref="B15:E15"/>
    <mergeCell ref="B16:E16"/>
    <mergeCell ref="B17:E17"/>
    <mergeCell ref="A26:E26"/>
    <mergeCell ref="A39:B39"/>
    <mergeCell ref="B18:E18"/>
    <mergeCell ref="B19:E19"/>
    <mergeCell ref="B20:E20"/>
    <mergeCell ref="B21:E21"/>
    <mergeCell ref="B22:E22"/>
    <mergeCell ref="B23:E23"/>
    <mergeCell ref="B24:E24"/>
  </mergeCells>
  <dataValidations>
    <dataValidation type="list" allowBlank="1" sqref="C37">
      <formula1>'_ds'!$B$1:$B$3</formula1>
    </dataValidation>
    <dataValidation type="list" allowBlank="1" sqref="C30 C32 C34 C36">
      <formula1>'_ds'!$F$1:$F$5</formula1>
    </dataValidation>
  </dataValidations>
  <printOptions/>
  <pageMargins bottom="1.0" footer="0.0" header="0.0" left="0.75" right="0.75" top="1.0"/>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277</v>
      </c>
    </row>
    <row r="2" ht="18.0" customHeight="1">
      <c r="A2" s="2" t="s">
        <v>5</v>
      </c>
    </row>
    <row r="4" ht="33.0" customHeight="1">
      <c r="A4" s="3" t="s">
        <v>281</v>
      </c>
    </row>
    <row r="5" ht="33.0" customHeight="1">
      <c r="A5" s="3" t="s">
        <v>282</v>
      </c>
    </row>
    <row r="6" ht="33.0" customHeight="1">
      <c r="A6" s="3" t="s">
        <v>284</v>
      </c>
    </row>
    <row r="8" ht="31.5" customHeight="1">
      <c r="A8" s="8" t="s">
        <v>286</v>
      </c>
      <c r="B8" s="9"/>
      <c r="C8" s="7" t="s">
        <v>288</v>
      </c>
      <c r="D8" s="7" t="s">
        <v>289</v>
      </c>
      <c r="E8" s="7" t="s">
        <v>291</v>
      </c>
    </row>
    <row r="9" ht="18.0" customHeight="1">
      <c r="A9" s="12" t="s">
        <v>292</v>
      </c>
      <c r="B9" s="9"/>
      <c r="C9" s="11" t="s">
        <v>293</v>
      </c>
      <c r="D9" s="11" t="s">
        <v>295</v>
      </c>
      <c r="E9" s="11" t="s">
        <v>296</v>
      </c>
    </row>
    <row r="10" ht="18.0" customHeight="1">
      <c r="A10" s="12" t="s">
        <v>297</v>
      </c>
      <c r="B10" s="9"/>
      <c r="C10" s="11" t="s">
        <v>298</v>
      </c>
      <c r="D10" s="11" t="s">
        <v>298</v>
      </c>
      <c r="E10" s="11" t="s">
        <v>298</v>
      </c>
    </row>
    <row r="11" ht="18.0" customHeight="1">
      <c r="A11" s="12" t="s">
        <v>300</v>
      </c>
      <c r="B11" s="9"/>
      <c r="C11" s="11" t="s">
        <v>301</v>
      </c>
      <c r="D11" s="11" t="s">
        <v>302</v>
      </c>
      <c r="E11" s="11" t="s">
        <v>304</v>
      </c>
    </row>
    <row r="12" ht="18.0" customHeight="1">
      <c r="A12" s="12" t="s">
        <v>306</v>
      </c>
      <c r="B12" s="9"/>
      <c r="C12" s="11" t="s">
        <v>308</v>
      </c>
      <c r="D12" s="11" t="s">
        <v>309</v>
      </c>
      <c r="E12" s="11" t="s">
        <v>310</v>
      </c>
    </row>
    <row r="14" ht="33.0" customHeight="1">
      <c r="A14" s="3" t="s">
        <v>311</v>
      </c>
    </row>
    <row r="16" ht="18.0" customHeight="1">
      <c r="A16" s="7" t="s">
        <v>50</v>
      </c>
      <c r="B16" s="7" t="s">
        <v>54</v>
      </c>
      <c r="C16" s="7" t="s">
        <v>62</v>
      </c>
      <c r="D16" s="7" t="s">
        <v>64</v>
      </c>
      <c r="E16" s="7" t="s">
        <v>66</v>
      </c>
    </row>
    <row r="17" ht="48.0" customHeight="1">
      <c r="A17" s="10" t="s">
        <v>315</v>
      </c>
      <c r="B17" s="11" t="s">
        <v>317</v>
      </c>
      <c r="C17" s="15" t="s">
        <v>319</v>
      </c>
      <c r="D17" s="16" t="str">
        <f>IF(C17="","",IF(C17="Thiếu đặc tả → sửa câu lệnh","Đúng","Chưa đúng"))</f>
        <v>Đúng</v>
      </c>
      <c r="E17" s="11" t="s">
        <v>325</v>
      </c>
    </row>
    <row r="18" ht="48.0" customHeight="1">
      <c r="A18" s="10" t="s">
        <v>326</v>
      </c>
      <c r="B18" s="11" t="s">
        <v>328</v>
      </c>
      <c r="C18" s="15" t="s">
        <v>329</v>
      </c>
      <c r="D18" s="16" t="str">
        <f>IF(C18="","",IF(C18="Thiếu năng lực hệ thống → sửa kỹ thuật","Đúng","Chưa đúng"))</f>
        <v>Đúng</v>
      </c>
      <c r="E18" s="11" t="s">
        <v>325</v>
      </c>
    </row>
    <row r="19" ht="63.0" customHeight="1">
      <c r="A19" s="10" t="s">
        <v>332</v>
      </c>
      <c r="B19" s="11" t="s">
        <v>333</v>
      </c>
      <c r="C19" s="15" t="s">
        <v>336</v>
      </c>
      <c r="D19" s="16" t="str">
        <f>IF(C19="","",IF(C19="Lúc được lúc không → viết bài đánh giá tự động","Đúng","Chưa đúng"))</f>
        <v>Đúng</v>
      </c>
      <c r="E19" s="11" t="s">
        <v>325</v>
      </c>
    </row>
    <row r="20" ht="33.0" customHeight="1">
      <c r="A20" s="10" t="s">
        <v>337</v>
      </c>
      <c r="B20" s="11" t="s">
        <v>338</v>
      </c>
      <c r="C20" s="15" t="s">
        <v>339</v>
      </c>
      <c r="D20" s="16" t="str">
        <f t="shared" ref="D20:D23" si="1">IF(C20="","",IF(C20="Mã lệnh","Đúng","Chưa đúng"))</f>
        <v>Đúng</v>
      </c>
      <c r="E20" s="11" t="s">
        <v>340</v>
      </c>
    </row>
    <row r="21" ht="33.0" customHeight="1">
      <c r="A21" s="10" t="s">
        <v>341</v>
      </c>
      <c r="B21" s="11" t="s">
        <v>342</v>
      </c>
      <c r="C21" s="15" t="s">
        <v>339</v>
      </c>
      <c r="D21" s="16" t="str">
        <f t="shared" si="1"/>
        <v>Đúng</v>
      </c>
      <c r="E21" s="11" t="s">
        <v>344</v>
      </c>
    </row>
    <row r="22" ht="33.0" customHeight="1">
      <c r="A22" s="10" t="s">
        <v>346</v>
      </c>
      <c r="B22" s="11" t="s">
        <v>348</v>
      </c>
      <c r="C22" s="15" t="s">
        <v>339</v>
      </c>
      <c r="D22" s="16" t="str">
        <f t="shared" si="1"/>
        <v>Đúng</v>
      </c>
      <c r="E22" s="11" t="s">
        <v>349</v>
      </c>
    </row>
    <row r="23" ht="33.0" customHeight="1">
      <c r="A23" s="10" t="s">
        <v>350</v>
      </c>
      <c r="B23" s="11" t="s">
        <v>351</v>
      </c>
      <c r="C23" s="15" t="s">
        <v>339</v>
      </c>
      <c r="D23" s="16" t="str">
        <f t="shared" si="1"/>
        <v>Đúng</v>
      </c>
      <c r="E23" s="11" t="s">
        <v>349</v>
      </c>
    </row>
    <row r="24" ht="33.0" customHeight="1">
      <c r="A24" s="10" t="s">
        <v>352</v>
      </c>
      <c r="B24" s="11" t="s">
        <v>353</v>
      </c>
      <c r="C24" s="15" t="s">
        <v>354</v>
      </c>
      <c r="D24" s="16" t="str">
        <f>IF(C24="","",IF(C24="Giám khảo AI","Đúng","Chưa đúng"))</f>
        <v>Đúng</v>
      </c>
      <c r="E24" s="11" t="s">
        <v>340</v>
      </c>
    </row>
    <row r="25" ht="33.0" customHeight="1">
      <c r="A25" s="10" t="s">
        <v>358</v>
      </c>
      <c r="B25" s="11" t="s">
        <v>359</v>
      </c>
      <c r="C25" s="15" t="s">
        <v>360</v>
      </c>
      <c r="D25" s="16" t="str">
        <f>IF(C25="","",IF(C25="Người quyết","Đúng","Chưa đúng"))</f>
        <v>Đúng</v>
      </c>
      <c r="E25" s="11" t="s">
        <v>361</v>
      </c>
    </row>
    <row r="26" ht="33.0" customHeight="1">
      <c r="A26" s="10" t="s">
        <v>362</v>
      </c>
      <c r="B26" s="11" t="s">
        <v>364</v>
      </c>
      <c r="C26" s="15" t="s">
        <v>366</v>
      </c>
      <c r="D26" s="16" t="str">
        <f>IF(C26="","",IF(C26="Đạt · đúng 1 nhãn","Đúng","Chưa đúng"))</f>
        <v>Đúng</v>
      </c>
      <c r="E26" s="11" t="s">
        <v>367</v>
      </c>
    </row>
    <row r="27" ht="33.0" customHeight="1">
      <c r="A27" s="10" t="s">
        <v>368</v>
      </c>
      <c r="B27" s="11" t="s">
        <v>369</v>
      </c>
      <c r="C27" s="15" t="s">
        <v>372</v>
      </c>
      <c r="D27" s="16" t="str">
        <f>IF(C27="","",IF(C27="Không đạt · không có nhãn hợp lệ","Đúng","Chưa đúng"))</f>
        <v>Đúng</v>
      </c>
      <c r="E27" s="11" t="s">
        <v>367</v>
      </c>
    </row>
    <row r="28" ht="33.0" customHeight="1">
      <c r="A28" s="10" t="s">
        <v>373</v>
      </c>
      <c r="B28" s="11" t="s">
        <v>374</v>
      </c>
      <c r="C28" s="15" t="s">
        <v>375</v>
      </c>
      <c r="D28" s="16" t="str">
        <f>IF(C28="","",IF(C28="Không đạt · nhiều hơn 1 nhãn","Đúng","Chưa đúng"))</f>
        <v>Đúng</v>
      </c>
      <c r="E28" s="11" t="s">
        <v>367</v>
      </c>
    </row>
    <row r="29" ht="33.0" customHeight="1">
      <c r="A29" s="10" t="s">
        <v>378</v>
      </c>
      <c r="B29" s="11" t="s">
        <v>379</v>
      </c>
      <c r="C29" s="15" t="s">
        <v>261</v>
      </c>
      <c r="D29" s="16" t="str">
        <f>IF(C29="","",IF(C29="B","Đúng","Chưa đúng"))</f>
        <v>Đúng</v>
      </c>
      <c r="E29" s="11" t="s">
        <v>382</v>
      </c>
    </row>
    <row r="30" ht="33.0" customHeight="1">
      <c r="A30" s="10" t="s">
        <v>383</v>
      </c>
      <c r="B30" s="11" t="s">
        <v>384</v>
      </c>
      <c r="C30" s="15" t="s">
        <v>385</v>
      </c>
      <c r="D30" s="16" t="str">
        <f>IF(C30="","",IF(C30="Lặp tiếp","Đúng","Chưa đúng"))</f>
        <v>Đúng</v>
      </c>
      <c r="E30" s="11" t="s">
        <v>388</v>
      </c>
    </row>
    <row r="31" ht="33.0" customHeight="1">
      <c r="A31" s="10" t="s">
        <v>389</v>
      </c>
      <c r="B31" s="11" t="s">
        <v>390</v>
      </c>
      <c r="C31" s="15" t="s">
        <v>391</v>
      </c>
      <c r="D31" s="16" t="str">
        <f>IF(C31="","",IF(C31="Sửa câu lệnh","Đúng","Chưa đúng"))</f>
        <v>Đúng</v>
      </c>
      <c r="E31" s="11" t="s">
        <v>388</v>
      </c>
    </row>
    <row r="32" ht="15.75" customHeight="1"/>
    <row r="33" ht="18.0" customHeight="1">
      <c r="A33" s="14" t="s">
        <v>266</v>
      </c>
      <c r="B33" s="9"/>
      <c r="C33" s="19">
        <f>COUNTIF(D17:D31,"Đúng")</f>
        <v>15</v>
      </c>
      <c r="D33" s="11" t="s">
        <v>404</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1:B11"/>
    <mergeCell ref="A12:B12"/>
    <mergeCell ref="A14:E14"/>
    <mergeCell ref="A33:B33"/>
    <mergeCell ref="A2:E2"/>
    <mergeCell ref="A4:E4"/>
    <mergeCell ref="A5:E5"/>
    <mergeCell ref="A6:E6"/>
    <mergeCell ref="A8:B8"/>
    <mergeCell ref="A9:B9"/>
    <mergeCell ref="A10:B10"/>
  </mergeCells>
  <dataValidations>
    <dataValidation type="list" allowBlank="1" sqref="C20:C25">
      <formula1>'_ds'!$H$1:$H$3</formula1>
    </dataValidation>
    <dataValidation type="list" allowBlank="1" sqref="C29">
      <formula1>'_ds'!$B$1:$B$3</formula1>
    </dataValidation>
    <dataValidation type="list" allowBlank="1" sqref="C31">
      <formula1>'_ds'!$K$1:$K$3</formula1>
    </dataValidation>
    <dataValidation type="list" allowBlank="1" sqref="C30">
      <formula1>'_ds'!$J$1:$J$3</formula1>
    </dataValidation>
    <dataValidation type="list" allowBlank="1" sqref="C17:C19">
      <formula1>'_ds'!$G$1:$G$3</formula1>
    </dataValidation>
    <dataValidation type="list" allowBlank="1" sqref="C26:C28">
      <formula1>'_ds'!$I$1:$I$3</formula1>
    </dataValidation>
  </dataValidations>
  <printOptions/>
  <pageMargins bottom="1.0" footer="0.0" header="0.0" left="0.75" right="0.75" top="1.0"/>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395</v>
      </c>
    </row>
    <row r="2" ht="18.0" customHeight="1">
      <c r="A2" s="2" t="s">
        <v>5</v>
      </c>
    </row>
    <row r="4" ht="18.0" customHeight="1">
      <c r="A4" s="3" t="s">
        <v>396</v>
      </c>
    </row>
    <row r="5" ht="18.0" customHeight="1">
      <c r="A5" s="3" t="s">
        <v>397</v>
      </c>
    </row>
    <row r="6" ht="33.0" customHeight="1">
      <c r="A6" s="3" t="s">
        <v>399</v>
      </c>
    </row>
    <row r="8" ht="18.0" customHeight="1">
      <c r="A8" s="7" t="s">
        <v>400</v>
      </c>
      <c r="B8" s="7" t="s">
        <v>401</v>
      </c>
      <c r="C8" s="7" t="s">
        <v>354</v>
      </c>
    </row>
    <row r="9" ht="18.0" customHeight="1">
      <c r="A9" s="11" t="s">
        <v>79</v>
      </c>
      <c r="B9" s="11" t="s">
        <v>402</v>
      </c>
      <c r="C9" s="11" t="s">
        <v>402</v>
      </c>
    </row>
    <row r="10" ht="18.0" customHeight="1">
      <c r="A10" s="11" t="s">
        <v>84</v>
      </c>
      <c r="B10" s="11" t="s">
        <v>402</v>
      </c>
      <c r="C10" s="11" t="s">
        <v>402</v>
      </c>
    </row>
    <row r="11" ht="18.0" customHeight="1">
      <c r="A11" s="11" t="s">
        <v>92</v>
      </c>
      <c r="B11" s="11" t="s">
        <v>403</v>
      </c>
      <c r="C11" s="11" t="s">
        <v>402</v>
      </c>
    </row>
    <row r="12" ht="18.0" customHeight="1">
      <c r="A12" s="11" t="s">
        <v>121</v>
      </c>
      <c r="B12" s="11" t="s">
        <v>402</v>
      </c>
      <c r="C12" s="11" t="s">
        <v>402</v>
      </c>
    </row>
    <row r="13" ht="18.0" customHeight="1">
      <c r="A13" s="11" t="s">
        <v>128</v>
      </c>
      <c r="B13" s="11" t="s">
        <v>402</v>
      </c>
      <c r="C13" s="11" t="s">
        <v>403</v>
      </c>
    </row>
    <row r="14" ht="18.0" customHeight="1">
      <c r="A14" s="11" t="s">
        <v>158</v>
      </c>
      <c r="B14" s="11" t="s">
        <v>403</v>
      </c>
      <c r="C14" s="11" t="s">
        <v>403</v>
      </c>
    </row>
    <row r="15" ht="18.0" customHeight="1">
      <c r="A15" s="11" t="s">
        <v>161</v>
      </c>
      <c r="B15" s="11" t="s">
        <v>402</v>
      </c>
      <c r="C15" s="11" t="s">
        <v>402</v>
      </c>
    </row>
    <row r="16" ht="18.0" customHeight="1">
      <c r="A16" s="11" t="s">
        <v>164</v>
      </c>
      <c r="B16" s="11" t="s">
        <v>403</v>
      </c>
      <c r="C16" s="11" t="s">
        <v>402</v>
      </c>
    </row>
    <row r="17" ht="18.0" customHeight="1">
      <c r="A17" s="11" t="s">
        <v>167</v>
      </c>
      <c r="B17" s="11" t="s">
        <v>402</v>
      </c>
      <c r="C17" s="11" t="s">
        <v>402</v>
      </c>
    </row>
    <row r="18" ht="18.0" customHeight="1">
      <c r="A18" s="11" t="s">
        <v>170</v>
      </c>
      <c r="B18" s="11" t="s">
        <v>403</v>
      </c>
      <c r="C18" s="11" t="s">
        <v>403</v>
      </c>
    </row>
    <row r="19" ht="18.0" customHeight="1">
      <c r="A19" s="11" t="s">
        <v>173</v>
      </c>
      <c r="B19" s="11" t="s">
        <v>402</v>
      </c>
      <c r="C19" s="11" t="s">
        <v>402</v>
      </c>
    </row>
    <row r="20" ht="18.0" customHeight="1">
      <c r="A20" s="11" t="s">
        <v>176</v>
      </c>
      <c r="B20" s="11" t="s">
        <v>402</v>
      </c>
      <c r="C20" s="11" t="s">
        <v>402</v>
      </c>
    </row>
    <row r="21" ht="15.75" customHeight="1"/>
    <row r="22" ht="33.0" customHeight="1">
      <c r="A22" s="3" t="s">
        <v>405</v>
      </c>
    </row>
    <row r="23" ht="15.75" customHeight="1"/>
    <row r="24" ht="18.0" customHeight="1">
      <c r="A24" s="7" t="s">
        <v>50</v>
      </c>
      <c r="B24" s="7" t="s">
        <v>54</v>
      </c>
      <c r="C24" s="7" t="s">
        <v>62</v>
      </c>
      <c r="D24" s="7" t="s">
        <v>64</v>
      </c>
      <c r="E24" s="7" t="s">
        <v>66</v>
      </c>
    </row>
    <row r="25" ht="18.0" customHeight="1">
      <c r="A25" s="10" t="s">
        <v>408</v>
      </c>
      <c r="B25" s="11" t="s">
        <v>410</v>
      </c>
      <c r="C25" s="17">
        <v>8.0</v>
      </c>
      <c r="D25" s="16" t="str">
        <f>IF(C25="","",IF(ISNUMBER(C25),IF(ABS(C25-8)&lt;=0.01,"Đúng","Chưa đúng"),"Gõ một số"))</f>
        <v>Đúng</v>
      </c>
      <c r="E25" s="11" t="s">
        <v>415</v>
      </c>
    </row>
    <row r="26" ht="18.0" customHeight="1">
      <c r="A26" s="10" t="s">
        <v>417</v>
      </c>
      <c r="B26" s="11" t="s">
        <v>418</v>
      </c>
      <c r="C26" s="17">
        <v>9.0</v>
      </c>
      <c r="D26" s="16" t="str">
        <f t="shared" ref="D26:D27" si="1">IF(C26="","",IF(ISNUMBER(C26),IF(ABS(C26-9)&lt;=0.01,"Đúng","Chưa đúng"),"Gõ một số"))</f>
        <v>Đúng</v>
      </c>
      <c r="E26" s="11" t="s">
        <v>415</v>
      </c>
    </row>
    <row r="27" ht="18.0" customHeight="1">
      <c r="A27" s="10" t="s">
        <v>419</v>
      </c>
      <c r="B27" s="11" t="s">
        <v>420</v>
      </c>
      <c r="C27" s="17">
        <v>9.0</v>
      </c>
      <c r="D27" s="16" t="str">
        <f t="shared" si="1"/>
        <v>Đúng</v>
      </c>
      <c r="E27" s="11" t="s">
        <v>415</v>
      </c>
    </row>
    <row r="28" ht="18.0" customHeight="1">
      <c r="A28" s="10" t="s">
        <v>421</v>
      </c>
      <c r="B28" s="11" t="s">
        <v>422</v>
      </c>
      <c r="C28" s="17">
        <v>7.0</v>
      </c>
      <c r="D28" s="16" t="str">
        <f>IF(C28="","",IF(ISNUMBER(C28),IF(ABS(C28-7)&lt;=0.01,"Đúng","Chưa đúng"),"Gõ một số"))</f>
        <v>Đúng</v>
      </c>
      <c r="E28" s="11" t="s">
        <v>415</v>
      </c>
    </row>
    <row r="29" ht="18.0" customHeight="1">
      <c r="A29" s="10" t="s">
        <v>423</v>
      </c>
      <c r="B29" s="11" t="s">
        <v>424</v>
      </c>
      <c r="C29" s="17">
        <v>2.0</v>
      </c>
      <c r="D29" s="16" t="str">
        <f>IF(C29="","",IF(ISNUMBER(C29),IF(ABS(C29-2)&lt;=0.01,"Đúng","Chưa đúng"),"Gõ một số"))</f>
        <v>Đúng</v>
      </c>
      <c r="E29" s="11" t="s">
        <v>415</v>
      </c>
    </row>
    <row r="30" ht="18.0" customHeight="1">
      <c r="A30" s="10" t="s">
        <v>425</v>
      </c>
      <c r="B30" s="11" t="s">
        <v>426</v>
      </c>
      <c r="C30" s="17">
        <v>1.0</v>
      </c>
      <c r="D30" s="16" t="str">
        <f>IF(C30="","",IF(ISNUMBER(C30),IF(ABS(C30-1)&lt;=0.01,"Đúng","Chưa đúng"),"Gõ một số"))</f>
        <v>Đúng</v>
      </c>
      <c r="E30" s="11" t="s">
        <v>415</v>
      </c>
    </row>
    <row r="31" ht="18.0" customHeight="1">
      <c r="A31" s="10" t="s">
        <v>433</v>
      </c>
      <c r="B31" s="11" t="s">
        <v>434</v>
      </c>
      <c r="C31" s="17">
        <v>2.0</v>
      </c>
      <c r="D31" s="16" t="str">
        <f>IF(C31="","",IF(ISNUMBER(C31),IF(ABS(C31-2)&lt;=0.01,"Đúng","Chưa đúng"),"Gõ một số"))</f>
        <v>Đúng</v>
      </c>
      <c r="E31" s="11" t="s">
        <v>415</v>
      </c>
    </row>
    <row r="32" ht="18.0" customHeight="1">
      <c r="A32" s="10" t="s">
        <v>437</v>
      </c>
      <c r="B32" s="11" t="s">
        <v>438</v>
      </c>
      <c r="C32" s="23">
        <v>87.5</v>
      </c>
      <c r="D32" s="16" t="str">
        <f>IF(C32="","",IF(ISNUMBER(C32),IF(OR(ABS(C32-0.875)&lt;=0.006,ABS(C32-87.5)&lt;=0.6),"Đúng","Chưa đúng"),"Gõ một số"))</f>
        <v>Đúng</v>
      </c>
      <c r="E32" s="11" t="s">
        <v>415</v>
      </c>
    </row>
    <row r="33" ht="18.0" customHeight="1">
      <c r="A33" s="10" t="s">
        <v>444</v>
      </c>
      <c r="B33" s="11" t="s">
        <v>445</v>
      </c>
      <c r="C33" s="23">
        <v>50.0</v>
      </c>
      <c r="D33" s="16" t="str">
        <f>IF(C33="","",IF(ISNUMBER(C33),IF(OR(ABS(C33-0.5)&lt;=0.006,ABS(C33-50)&lt;=0.6),"Đúng","Chưa đúng"),"Gõ một số"))</f>
        <v>Đúng</v>
      </c>
      <c r="E33" s="11" t="s">
        <v>415</v>
      </c>
    </row>
    <row r="34" ht="18.0" customHeight="1">
      <c r="A34" s="10" t="s">
        <v>448</v>
      </c>
      <c r="B34" s="11" t="s">
        <v>449</v>
      </c>
      <c r="C34" s="15" t="s">
        <v>261</v>
      </c>
      <c r="D34" s="16" t="str">
        <f>IF(C34="","",IF(C34="B","Đúng","Chưa đúng"))</f>
        <v>Đúng</v>
      </c>
      <c r="E34" s="11" t="s">
        <v>450</v>
      </c>
    </row>
    <row r="35" ht="18.0" customHeight="1">
      <c r="A35" s="10" t="s">
        <v>451</v>
      </c>
      <c r="B35" s="11" t="s">
        <v>452</v>
      </c>
      <c r="C35" s="15" t="s">
        <v>453</v>
      </c>
      <c r="D35" s="16" t="str">
        <f>IF(C35="","",IF(C35="Cho qua lỗi","Đúng","Chưa đúng"))</f>
        <v>Đúng</v>
      </c>
      <c r="E35" s="11" t="s">
        <v>415</v>
      </c>
    </row>
    <row r="36" ht="63.0" customHeight="1">
      <c r="A36" s="10" t="s">
        <v>455</v>
      </c>
      <c r="B36" s="11" t="s">
        <v>456</v>
      </c>
      <c r="C36" s="25">
        <v>0.4</v>
      </c>
      <c r="D36" s="16" t="str">
        <f>IF(C36="","",IF(ISNUMBER(C36),IF(ABS(C36-0.4)&lt;=0.006,"Đúng","Chưa đúng"),"Gõ một số"))</f>
        <v>Đúng</v>
      </c>
      <c r="E36" s="11" t="s">
        <v>457</v>
      </c>
    </row>
    <row r="37" ht="33.0" customHeight="1">
      <c r="A37" s="10" t="s">
        <v>458</v>
      </c>
      <c r="B37" s="11" t="s">
        <v>459</v>
      </c>
      <c r="C37" s="17">
        <v>4.0</v>
      </c>
      <c r="D37" s="16" t="str">
        <f>IF(C37="","",IF(ISNUMBER(C37),IF(ABS(C37-4)&lt;=0.01,"Đúng","Chưa đúng"),"Gõ một số"))</f>
        <v>Đúng</v>
      </c>
      <c r="E37" s="11" t="s">
        <v>450</v>
      </c>
    </row>
    <row r="38" ht="33.0" customHeight="1">
      <c r="A38" s="10" t="s">
        <v>462</v>
      </c>
      <c r="B38" s="11" t="s">
        <v>463</v>
      </c>
      <c r="C38" s="15" t="s">
        <v>191</v>
      </c>
      <c r="D38" s="16" t="str">
        <f>IF(C38="","",IF(C38="Có","Đúng","Chưa đúng"))</f>
        <v>Đúng</v>
      </c>
      <c r="E38" s="11" t="s">
        <v>450</v>
      </c>
    </row>
    <row r="39" ht="33.0" customHeight="1">
      <c r="A39" s="10" t="s">
        <v>464</v>
      </c>
      <c r="B39" s="11" t="s">
        <v>465</v>
      </c>
      <c r="C39" s="15" t="s">
        <v>466</v>
      </c>
      <c r="D39" s="16" t="str">
        <f t="shared" ref="D39:D41" si="2">IF(C39="","",IF(C39="Sai","Đúng","Chưa đúng"))</f>
        <v>Đúng</v>
      </c>
      <c r="E39" s="11" t="s">
        <v>457</v>
      </c>
    </row>
    <row r="40" ht="18.0" customHeight="1">
      <c r="A40" s="10" t="s">
        <v>467</v>
      </c>
      <c r="B40" s="11" t="s">
        <v>468</v>
      </c>
      <c r="C40" s="15" t="s">
        <v>466</v>
      </c>
      <c r="D40" s="16" t="str">
        <f t="shared" si="2"/>
        <v>Đúng</v>
      </c>
      <c r="E40" s="11" t="s">
        <v>469</v>
      </c>
    </row>
    <row r="41" ht="18.0" customHeight="1">
      <c r="A41" s="10" t="s">
        <v>470</v>
      </c>
      <c r="B41" s="11" t="s">
        <v>471</v>
      </c>
      <c r="C41" s="15" t="s">
        <v>466</v>
      </c>
      <c r="D41" s="16" t="str">
        <f t="shared" si="2"/>
        <v>Đúng</v>
      </c>
      <c r="E41" s="11" t="s">
        <v>457</v>
      </c>
    </row>
    <row r="42" ht="33.0" customHeight="1">
      <c r="A42" s="10" t="s">
        <v>472</v>
      </c>
      <c r="B42" s="11" t="s">
        <v>473</v>
      </c>
      <c r="C42" s="15" t="s">
        <v>474</v>
      </c>
      <c r="D42" s="16" t="str">
        <f>IF(C42="","",IF(C42="Đúng","Đúng","Chưa đúng"))</f>
        <v>Đúng</v>
      </c>
      <c r="E42" s="11" t="s">
        <v>476</v>
      </c>
    </row>
    <row r="43" ht="15.75" customHeight="1"/>
    <row r="44" ht="18.0" customHeight="1">
      <c r="A44" s="14" t="s">
        <v>266</v>
      </c>
      <c r="B44" s="9"/>
      <c r="C44" s="19">
        <f>COUNTIF(D25:D42,"Đúng")</f>
        <v>18</v>
      </c>
      <c r="D44" s="11" t="s">
        <v>481</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E2"/>
    <mergeCell ref="A4:E4"/>
    <mergeCell ref="A5:E5"/>
    <mergeCell ref="A6:E6"/>
    <mergeCell ref="A22:E22"/>
    <mergeCell ref="A44:B44"/>
  </mergeCells>
  <dataValidations>
    <dataValidation type="list" allowBlank="1" sqref="C39:C42">
      <formula1>'_ds'!$M$1:$M$2</formula1>
    </dataValidation>
    <dataValidation type="list" allowBlank="1" sqref="C38">
      <formula1>'_ds'!$A$1:$A$2</formula1>
    </dataValidation>
    <dataValidation type="list" allowBlank="1" sqref="C34">
      <formula1>'_ds'!$B$1:$B$3</formula1>
    </dataValidation>
    <dataValidation type="list" allowBlank="1" sqref="C35">
      <formula1>'_ds'!$L$1:$L$2</formula1>
    </dataValidation>
  </dataValidations>
  <printOptions/>
  <pageMargins bottom="1.0" footer="0.0" header="0.0" left="0.75" right="0.75" top="1.0"/>
  <pageSetup fitToHeight="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34.0"/>
    <col customWidth="1" min="3" max="3" width="40.0"/>
    <col customWidth="1" min="4" max="4" width="34.0"/>
    <col customWidth="1" min="5" max="5" width="22.0"/>
    <col customWidth="1" min="6" max="7" width="16.0"/>
    <col customWidth="1" min="8" max="26" width="8.71"/>
  </cols>
  <sheetData>
    <row r="1">
      <c r="A1" s="1" t="s">
        <v>406</v>
      </c>
    </row>
    <row r="2" ht="33.0" customHeight="1">
      <c r="A2" s="2" t="s">
        <v>407</v>
      </c>
    </row>
    <row r="3" ht="112.5" customHeight="1">
      <c r="A3" s="14" t="s">
        <v>409</v>
      </c>
      <c r="B3" s="9"/>
      <c r="C3" s="21" t="s">
        <v>411</v>
      </c>
      <c r="D3" s="20"/>
      <c r="E3" s="20"/>
      <c r="F3" s="20"/>
      <c r="G3" s="9"/>
    </row>
    <row r="5" ht="18.0" customHeight="1">
      <c r="A5" s="22" t="s">
        <v>412</v>
      </c>
    </row>
    <row r="6" ht="18.0" customHeight="1">
      <c r="A6" s="3" t="s">
        <v>413</v>
      </c>
    </row>
    <row r="7" ht="61.5" customHeight="1">
      <c r="A7" s="14" t="s">
        <v>414</v>
      </c>
      <c r="B7" s="9"/>
      <c r="C7" s="21" t="s">
        <v>416</v>
      </c>
      <c r="D7" s="20"/>
      <c r="E7" s="20"/>
      <c r="F7" s="9"/>
      <c r="G7" s="16" t="str">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9" ht="18.0" customHeight="1">
      <c r="A9" s="22" t="s">
        <v>427</v>
      </c>
    </row>
    <row r="10" ht="18.0" customHeight="1">
      <c r="A10" s="3" t="s">
        <v>428</v>
      </c>
    </row>
    <row r="11" ht="18.0" customHeight="1">
      <c r="A11" s="7" t="s">
        <v>429</v>
      </c>
      <c r="B11" s="7" t="s">
        <v>430</v>
      </c>
      <c r="C11" s="7" t="s">
        <v>431</v>
      </c>
      <c r="D11" s="8" t="s">
        <v>432</v>
      </c>
      <c r="E11" s="20"/>
      <c r="F11" s="20"/>
      <c r="G11" s="9"/>
    </row>
    <row r="12" ht="33.75" customHeight="1">
      <c r="A12" s="11" t="s">
        <v>79</v>
      </c>
      <c r="B12" s="15" t="s">
        <v>435</v>
      </c>
      <c r="C12" s="17">
        <v>4.0</v>
      </c>
      <c r="D12" s="21" t="s">
        <v>436</v>
      </c>
      <c r="E12" s="20"/>
      <c r="F12" s="20"/>
      <c r="G12" s="9"/>
    </row>
    <row r="13" ht="33.75" customHeight="1">
      <c r="A13" s="11" t="s">
        <v>84</v>
      </c>
      <c r="B13" s="15" t="s">
        <v>439</v>
      </c>
      <c r="C13" s="17">
        <v>3.0</v>
      </c>
      <c r="D13" s="21" t="s">
        <v>440</v>
      </c>
      <c r="E13" s="20"/>
      <c r="F13" s="20"/>
      <c r="G13" s="9"/>
    </row>
    <row r="14" ht="33.75" customHeight="1">
      <c r="A14" s="11" t="s">
        <v>92</v>
      </c>
      <c r="B14" s="15" t="s">
        <v>441</v>
      </c>
      <c r="C14" s="17">
        <v>3.0</v>
      </c>
      <c r="D14" s="21" t="s">
        <v>442</v>
      </c>
      <c r="E14" s="20"/>
      <c r="F14" s="20"/>
      <c r="G14" s="9"/>
    </row>
    <row r="15" ht="18.0" customHeight="1">
      <c r="A15" s="14" t="s">
        <v>443</v>
      </c>
      <c r="B15" s="9"/>
      <c r="C15" s="24">
        <f>IF(COUNT(C12:C14)&lt;3,"",PRODUCT(C12:C14))</f>
        <v>36</v>
      </c>
    </row>
    <row r="16" ht="18.0" customHeight="1">
      <c r="A16" s="14" t="s">
        <v>446</v>
      </c>
      <c r="B16" s="9"/>
      <c r="C16" s="17">
        <v>12.0</v>
      </c>
    </row>
    <row r="17" ht="18.0" customHeight="1">
      <c r="A17" s="14" t="s">
        <v>447</v>
      </c>
      <c r="B17" s="9"/>
      <c r="C17" s="24">
        <f>IF(OR(C15="",C16=""),"",C15-C16)</f>
        <v>24</v>
      </c>
    </row>
    <row r="18" ht="18.0" customHeight="1">
      <c r="A18" s="14" t="s">
        <v>454</v>
      </c>
      <c r="B18" s="9"/>
      <c r="C18" s="17">
        <v>16.0</v>
      </c>
      <c r="D18" s="16" t="str">
        <f>IF(OR(C18="",C17=""),"",IF(C18&gt;C17,"Chọn nhiều hơn số còn lại","Đạt"))</f>
        <v>Đạt</v>
      </c>
    </row>
    <row r="19" ht="18.0" customHeight="1">
      <c r="A19" s="14" t="s">
        <v>460</v>
      </c>
      <c r="B19" s="9"/>
      <c r="C19" s="17">
        <v>3.0</v>
      </c>
    </row>
    <row r="20" ht="18.0" customHeight="1">
      <c r="A20" s="14" t="s">
        <v>461</v>
      </c>
      <c r="B20" s="9"/>
      <c r="C20" s="19">
        <f>IF(OR(C18="",C19=""),"",C18*C19)</f>
        <v>48</v>
      </c>
      <c r="D20" s="16" t="str">
        <f>IF(C20="","",IF(AND(C20&gt;=40,C20&lt;=50),"Đạt","Nên trong khoảng 40–50 (trang 29)"))</f>
        <v>Đạt</v>
      </c>
    </row>
    <row r="21" ht="15.75" customHeight="1"/>
    <row r="22" ht="18.0" customHeight="1">
      <c r="A22" s="22" t="s">
        <v>475</v>
      </c>
    </row>
    <row r="23" ht="18.0" customHeight="1">
      <c r="A23" s="3" t="s">
        <v>477</v>
      </c>
    </row>
    <row r="24" ht="18.0" customHeight="1">
      <c r="A24" s="7" t="s">
        <v>429</v>
      </c>
      <c r="B24" s="7" t="s">
        <v>478</v>
      </c>
      <c r="C24" s="8" t="s">
        <v>479</v>
      </c>
      <c r="D24" s="9"/>
      <c r="E24" s="7" t="s">
        <v>480</v>
      </c>
    </row>
    <row r="25" ht="48.0" customHeight="1">
      <c r="A25" s="11" t="s">
        <v>79</v>
      </c>
      <c r="B25" s="15" t="s">
        <v>482</v>
      </c>
      <c r="C25" s="21" t="s">
        <v>483</v>
      </c>
      <c r="D25" s="9"/>
      <c r="E25" s="15" t="s">
        <v>247</v>
      </c>
    </row>
    <row r="26" ht="48.0" customHeight="1">
      <c r="A26" s="11" t="s">
        <v>84</v>
      </c>
      <c r="B26" s="15" t="s">
        <v>487</v>
      </c>
      <c r="C26" s="21" t="s">
        <v>488</v>
      </c>
      <c r="D26" s="9"/>
      <c r="E26" s="15" t="s">
        <v>247</v>
      </c>
    </row>
    <row r="27" ht="48.0" customHeight="1">
      <c r="A27" s="11" t="s">
        <v>92</v>
      </c>
      <c r="B27" s="15" t="s">
        <v>497</v>
      </c>
      <c r="C27" s="21" t="s">
        <v>499</v>
      </c>
      <c r="D27" s="9"/>
      <c r="E27" s="15" t="s">
        <v>247</v>
      </c>
    </row>
    <row r="28" ht="48.0" customHeight="1">
      <c r="A28" s="11" t="s">
        <v>121</v>
      </c>
      <c r="B28" s="15" t="s">
        <v>503</v>
      </c>
      <c r="C28" s="21" t="s">
        <v>504</v>
      </c>
      <c r="D28" s="9"/>
      <c r="E28" s="15" t="s">
        <v>253</v>
      </c>
    </row>
    <row r="29" ht="48.0" customHeight="1">
      <c r="A29" s="11" t="s">
        <v>128</v>
      </c>
      <c r="B29" s="15" t="s">
        <v>513</v>
      </c>
      <c r="C29" s="21" t="s">
        <v>515</v>
      </c>
      <c r="D29" s="9"/>
      <c r="E29" s="15" t="s">
        <v>253</v>
      </c>
    </row>
    <row r="30" ht="48.0" customHeight="1">
      <c r="A30" s="11" t="s">
        <v>158</v>
      </c>
      <c r="B30" s="15" t="s">
        <v>524</v>
      </c>
      <c r="C30" s="21" t="s">
        <v>527</v>
      </c>
      <c r="D30" s="9"/>
      <c r="E30" s="15" t="s">
        <v>253</v>
      </c>
    </row>
    <row r="31" ht="48.0" customHeight="1">
      <c r="A31" s="11" t="s">
        <v>161</v>
      </c>
      <c r="B31" s="15" t="s">
        <v>533</v>
      </c>
      <c r="C31" s="21" t="s">
        <v>534</v>
      </c>
      <c r="D31" s="9"/>
      <c r="E31" s="15" t="s">
        <v>258</v>
      </c>
    </row>
    <row r="32" ht="48.0" customHeight="1">
      <c r="A32" s="11" t="s">
        <v>164</v>
      </c>
      <c r="B32" s="15" t="s">
        <v>538</v>
      </c>
      <c r="C32" s="21" t="s">
        <v>539</v>
      </c>
      <c r="D32" s="9"/>
      <c r="E32" s="15" t="s">
        <v>258</v>
      </c>
    </row>
    <row r="33" ht="18.0" customHeight="1">
      <c r="B33" s="10" t="s">
        <v>542</v>
      </c>
      <c r="C33" s="24">
        <f>COUNTIF(E25:E32,"Đại diện")</f>
        <v>3</v>
      </c>
    </row>
    <row r="34" ht="18.0" customHeight="1">
      <c r="B34" s="10" t="s">
        <v>544</v>
      </c>
      <c r="C34" s="24">
        <f>COUNTIF(E25:E32,"Thử thách")</f>
        <v>3</v>
      </c>
    </row>
    <row r="35" ht="18.0" customHeight="1">
      <c r="B35" s="10" t="s">
        <v>546</v>
      </c>
      <c r="C35" s="24">
        <f>COUNTIF(E25:E32,"Hồi quy nghiêm trọng")</f>
        <v>2</v>
      </c>
    </row>
    <row r="36" ht="18.0" customHeight="1">
      <c r="B36" s="10" t="s">
        <v>64</v>
      </c>
      <c r="C36" s="16" t="str">
        <f>IF(COUNTA(E25:E32)=0,"",IF(COUNTA(B25:B32)&lt;8,"Chưa đủ 8 tình huống",IF(COUNTIF(E25:E32,"Đại diện")*COUNTIF(E25:E32,"Thử thách")*COUNTIF(E25:E32,"Hồi quy nghiêm trọng")=0,"Thiếu một loại",IF(COUNTIF(E25:E32,"Thử thách")&lt;3,"Cần ít nhất 3 tình huống thử thách","Đạt"))))</f>
        <v>Đạt</v>
      </c>
    </row>
    <row r="37" ht="15.75" customHeight="1"/>
    <row r="38" ht="18.0" customHeight="1">
      <c r="A38" s="22" t="s">
        <v>551</v>
      </c>
    </row>
    <row r="39" ht="18.0" customHeight="1">
      <c r="A39" s="3" t="s">
        <v>552</v>
      </c>
    </row>
    <row r="40" ht="18.0" customHeight="1">
      <c r="A40" s="7" t="s">
        <v>279</v>
      </c>
      <c r="B40" s="8" t="s">
        <v>280</v>
      </c>
      <c r="C40" s="20"/>
      <c r="D40" s="20"/>
      <c r="E40" s="20"/>
      <c r="F40" s="20"/>
      <c r="G40" s="9"/>
    </row>
    <row r="41" ht="18.0" customHeight="1">
      <c r="A41" s="10" t="s">
        <v>553</v>
      </c>
      <c r="B41" s="12" t="s">
        <v>554</v>
      </c>
      <c r="C41" s="20"/>
      <c r="D41" s="20"/>
      <c r="E41" s="20"/>
      <c r="F41" s="20"/>
      <c r="G41" s="9"/>
    </row>
    <row r="42" ht="18.0" customHeight="1">
      <c r="A42" s="10"/>
      <c r="B42" s="12" t="s">
        <v>324</v>
      </c>
      <c r="C42" s="20"/>
      <c r="D42" s="20"/>
      <c r="E42" s="20"/>
      <c r="F42" s="20"/>
      <c r="G42" s="9"/>
    </row>
    <row r="43" ht="18.0" customHeight="1">
      <c r="A43" s="10"/>
      <c r="B43" s="12" t="s">
        <v>555</v>
      </c>
      <c r="C43" s="20"/>
      <c r="D43" s="20"/>
      <c r="E43" s="20"/>
      <c r="F43" s="20"/>
      <c r="G43" s="9"/>
    </row>
    <row r="44" ht="18.0" customHeight="1">
      <c r="A44" s="10"/>
      <c r="B44" s="12" t="s">
        <v>556</v>
      </c>
      <c r="C44" s="20"/>
      <c r="D44" s="20"/>
      <c r="E44" s="20"/>
      <c r="F44" s="20"/>
      <c r="G44" s="9"/>
    </row>
    <row r="45" ht="18.0" customHeight="1">
      <c r="A45" s="10" t="s">
        <v>557</v>
      </c>
      <c r="B45" s="12" t="s">
        <v>558</v>
      </c>
      <c r="C45" s="20"/>
      <c r="D45" s="20"/>
      <c r="E45" s="20"/>
      <c r="F45" s="20"/>
      <c r="G45" s="9"/>
    </row>
    <row r="46" ht="18.0" customHeight="1">
      <c r="A46" s="10"/>
      <c r="B46" s="12" t="s">
        <v>307</v>
      </c>
      <c r="C46" s="20"/>
      <c r="D46" s="20"/>
      <c r="E46" s="20"/>
      <c r="F46" s="20"/>
      <c r="G46" s="9"/>
    </row>
    <row r="47" ht="18.0" customHeight="1">
      <c r="A47" s="10"/>
      <c r="B47" s="12" t="s">
        <v>559</v>
      </c>
      <c r="C47" s="20"/>
      <c r="D47" s="20"/>
      <c r="E47" s="20"/>
      <c r="F47" s="20"/>
      <c r="G47" s="9"/>
    </row>
    <row r="48" ht="18.0" customHeight="1">
      <c r="A48" s="10"/>
      <c r="B48" s="12" t="s">
        <v>560</v>
      </c>
      <c r="C48" s="20"/>
      <c r="D48" s="20"/>
      <c r="E48" s="20"/>
      <c r="F48" s="20"/>
      <c r="G48" s="9"/>
    </row>
    <row r="49" ht="18.0" customHeight="1">
      <c r="A49" s="10"/>
      <c r="B49" s="12" t="s">
        <v>561</v>
      </c>
      <c r="C49" s="20"/>
      <c r="D49" s="20"/>
      <c r="E49" s="20"/>
      <c r="F49" s="20"/>
      <c r="G49" s="9"/>
    </row>
    <row r="50" ht="18.0" customHeight="1">
      <c r="A50" s="10" t="s">
        <v>562</v>
      </c>
      <c r="B50" s="12" t="s">
        <v>563</v>
      </c>
      <c r="C50" s="20"/>
      <c r="D50" s="20"/>
      <c r="E50" s="20"/>
      <c r="F50" s="20"/>
      <c r="G50" s="9"/>
    </row>
    <row r="51" ht="18.0" customHeight="1">
      <c r="A51" s="10"/>
      <c r="B51" s="12" t="s">
        <v>318</v>
      </c>
      <c r="C51" s="20"/>
      <c r="D51" s="20"/>
      <c r="E51" s="20"/>
      <c r="F51" s="20"/>
      <c r="G51" s="9"/>
    </row>
    <row r="52" ht="18.0" customHeight="1">
      <c r="A52" s="10"/>
      <c r="B52" s="12" t="s">
        <v>564</v>
      </c>
      <c r="C52" s="20"/>
      <c r="D52" s="20"/>
      <c r="E52" s="20"/>
      <c r="F52" s="20"/>
      <c r="G52" s="9"/>
    </row>
    <row r="53" ht="18.0" customHeight="1">
      <c r="A53" s="10"/>
      <c r="B53" s="12" t="s">
        <v>565</v>
      </c>
      <c r="C53" s="20"/>
      <c r="D53" s="20"/>
      <c r="E53" s="20"/>
      <c r="F53" s="20"/>
      <c r="G53" s="9"/>
    </row>
    <row r="54" ht="15.75" customHeight="1"/>
    <row r="55" ht="18.0" customHeight="1">
      <c r="A55" s="7" t="s">
        <v>279</v>
      </c>
      <c r="B55" s="7" t="s">
        <v>566</v>
      </c>
      <c r="C55" s="7" t="s">
        <v>567</v>
      </c>
      <c r="D55" s="8" t="s">
        <v>568</v>
      </c>
      <c r="E55" s="9"/>
      <c r="F55" s="7" t="s">
        <v>571</v>
      </c>
      <c r="G55" s="7" t="s">
        <v>572</v>
      </c>
    </row>
    <row r="56" ht="61.5" customHeight="1">
      <c r="A56" s="10" t="s">
        <v>553</v>
      </c>
      <c r="B56" s="17">
        <v>3.0</v>
      </c>
      <c r="C56" s="15" t="s">
        <v>115</v>
      </c>
      <c r="D56" s="21" t="s">
        <v>574</v>
      </c>
      <c r="E56" s="9"/>
      <c r="F56" s="16" t="str">
        <f>IF(B56="","",IF(B56=3,"Đúng","Chưa đúng"))</f>
        <v>Đúng</v>
      </c>
      <c r="G56" s="16" t="str">
        <f>IF(C56="","",IF(C56="missing_lookup","Đúng","Chưa đúng"))</f>
        <v>Đúng</v>
      </c>
    </row>
    <row r="57" ht="61.5" customHeight="1">
      <c r="A57" s="10" t="s">
        <v>557</v>
      </c>
      <c r="B57" s="17">
        <v>2.0</v>
      </c>
      <c r="C57" s="15" t="s">
        <v>111</v>
      </c>
      <c r="D57" s="21" t="s">
        <v>583</v>
      </c>
      <c r="E57" s="9"/>
      <c r="F57" s="16" t="str">
        <f>IF(B57="","",IF(B57=2,"Đúng","Chưa đúng"))</f>
        <v>Đúng</v>
      </c>
      <c r="G57" s="16" t="str">
        <f>IF(C57="","",IF(C57="wrong_intent","Đúng","Chưa đúng"))</f>
        <v>Đúng</v>
      </c>
    </row>
    <row r="58" ht="61.5" customHeight="1">
      <c r="A58" s="10" t="s">
        <v>562</v>
      </c>
      <c r="B58" s="17">
        <v>4.0</v>
      </c>
      <c r="C58" s="15" t="s">
        <v>124</v>
      </c>
      <c r="D58" s="21" t="s">
        <v>584</v>
      </c>
      <c r="E58" s="9"/>
      <c r="F58" s="16" t="str">
        <f>IF(B58="","",IF(B58=4,"Đúng","Chưa đúng"))</f>
        <v>Đúng</v>
      </c>
      <c r="G58" s="16" t="str">
        <f>IF(C58="","",IF(C58="missing_escalation","Đúng","Chưa đúng"))</f>
        <v>Đúng</v>
      </c>
    </row>
    <row r="59" ht="15.75" customHeight="1"/>
    <row r="60" ht="18.0" customHeight="1">
      <c r="A60" s="22" t="s">
        <v>585</v>
      </c>
    </row>
    <row r="61" ht="18.0" customHeight="1">
      <c r="A61" s="3" t="s">
        <v>586</v>
      </c>
    </row>
    <row r="62" ht="18.0" customHeight="1">
      <c r="A62" s="7" t="s">
        <v>429</v>
      </c>
      <c r="B62" s="7" t="s">
        <v>587</v>
      </c>
      <c r="C62" s="7" t="s">
        <v>588</v>
      </c>
      <c r="D62" s="7" t="s">
        <v>589</v>
      </c>
      <c r="E62" s="7" t="s">
        <v>590</v>
      </c>
      <c r="F62" s="7" t="s">
        <v>591</v>
      </c>
      <c r="G62" s="7" t="s">
        <v>592</v>
      </c>
    </row>
    <row r="63" ht="78.0" customHeight="1">
      <c r="A63" s="10" t="s">
        <v>593</v>
      </c>
      <c r="B63" s="15" t="s">
        <v>46</v>
      </c>
      <c r="C63" s="15" t="s">
        <v>594</v>
      </c>
      <c r="D63" s="15" t="s">
        <v>595</v>
      </c>
      <c r="E63" s="15" t="s">
        <v>596</v>
      </c>
      <c r="F63" s="15" t="s">
        <v>339</v>
      </c>
      <c r="G63" s="15" t="s">
        <v>597</v>
      </c>
    </row>
    <row r="64" ht="78.0" customHeight="1">
      <c r="A64" s="10" t="s">
        <v>598</v>
      </c>
      <c r="B64" s="15" t="s">
        <v>599</v>
      </c>
      <c r="C64" s="15" t="s">
        <v>600</v>
      </c>
      <c r="D64" s="15" t="s">
        <v>601</v>
      </c>
      <c r="E64" s="15" t="s">
        <v>602</v>
      </c>
      <c r="F64" s="15" t="s">
        <v>339</v>
      </c>
      <c r="G64" s="15" t="s">
        <v>603</v>
      </c>
    </row>
    <row r="65" ht="78.0" customHeight="1">
      <c r="A65" s="10" t="s">
        <v>604</v>
      </c>
      <c r="B65" s="15" t="s">
        <v>605</v>
      </c>
      <c r="C65" s="15" t="s">
        <v>606</v>
      </c>
      <c r="D65" s="15" t="s">
        <v>607</v>
      </c>
      <c r="E65" s="15" t="s">
        <v>608</v>
      </c>
      <c r="F65" s="15" t="s">
        <v>582</v>
      </c>
      <c r="G65" s="15" t="s">
        <v>293</v>
      </c>
    </row>
    <row r="66" ht="78.0" customHeight="1">
      <c r="A66" s="10" t="s">
        <v>609</v>
      </c>
      <c r="B66" s="15" t="s">
        <v>610</v>
      </c>
      <c r="C66" s="15" t="s">
        <v>611</v>
      </c>
      <c r="D66" s="15" t="s">
        <v>612</v>
      </c>
      <c r="E66" s="15" t="s">
        <v>613</v>
      </c>
      <c r="F66" s="15" t="s">
        <v>354</v>
      </c>
      <c r="G66" s="15" t="s">
        <v>614</v>
      </c>
    </row>
    <row r="67" ht="33.0" customHeight="1">
      <c r="B67" s="10" t="s">
        <v>64</v>
      </c>
      <c r="C67" s="16" t="str">
        <f>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13" t="s">
        <v>615</v>
      </c>
    </row>
    <row r="68" ht="15.75" customHeight="1"/>
    <row r="69" ht="18.0" customHeight="1">
      <c r="A69" s="22" t="s">
        <v>616</v>
      </c>
    </row>
    <row r="70" ht="18.0" customHeight="1">
      <c r="A70" s="3" t="s">
        <v>617</v>
      </c>
    </row>
    <row r="71" ht="18.0" customHeight="1">
      <c r="A71" s="7" t="s">
        <v>400</v>
      </c>
      <c r="B71" s="7" t="s">
        <v>618</v>
      </c>
      <c r="C71" s="7" t="s">
        <v>354</v>
      </c>
      <c r="D71" s="8" t="s">
        <v>619</v>
      </c>
      <c r="E71" s="9"/>
      <c r="F71" s="7" t="s">
        <v>620</v>
      </c>
      <c r="G71" s="7" t="s">
        <v>64</v>
      </c>
    </row>
    <row r="72" ht="31.5" customHeight="1">
      <c r="A72" s="11" t="s">
        <v>79</v>
      </c>
      <c r="B72" s="11" t="s">
        <v>402</v>
      </c>
      <c r="C72" s="11" t="s">
        <v>402</v>
      </c>
      <c r="D72" s="12" t="s">
        <v>621</v>
      </c>
      <c r="E72" s="9"/>
      <c r="F72" s="17">
        <v>12.0</v>
      </c>
      <c r="G72" s="16" t="str">
        <f>IF(F72="","",IF(F72=12,"Đúng","Chưa đúng"))</f>
        <v>Đúng</v>
      </c>
    </row>
    <row r="73" ht="31.5" customHeight="1">
      <c r="A73" s="11" t="s">
        <v>84</v>
      </c>
      <c r="B73" s="11" t="s">
        <v>402</v>
      </c>
      <c r="C73" s="11" t="s">
        <v>403</v>
      </c>
      <c r="D73" s="12" t="s">
        <v>622</v>
      </c>
      <c r="E73" s="9"/>
      <c r="F73" s="17">
        <v>2.0</v>
      </c>
      <c r="G73" s="16" t="str">
        <f>IF(F73="","",IF(F73=2,"Đúng","Chưa đúng"))</f>
        <v>Đúng</v>
      </c>
    </row>
    <row r="74" ht="31.5" customHeight="1">
      <c r="A74" s="11" t="s">
        <v>92</v>
      </c>
      <c r="B74" s="11" t="s">
        <v>402</v>
      </c>
      <c r="C74" s="11" t="s">
        <v>402</v>
      </c>
      <c r="D74" s="12" t="s">
        <v>623</v>
      </c>
      <c r="E74" s="9"/>
      <c r="F74" s="17">
        <v>0.0</v>
      </c>
      <c r="G74" s="16" t="str">
        <f>IF(F74="","",IF(F74=0,"Đúng","Chưa đúng"))</f>
        <v>Đúng</v>
      </c>
    </row>
    <row r="75" ht="31.5" customHeight="1">
      <c r="A75" s="11" t="s">
        <v>121</v>
      </c>
      <c r="B75" s="11" t="s">
        <v>403</v>
      </c>
      <c r="C75" s="11" t="s">
        <v>403</v>
      </c>
      <c r="D75" s="12" t="s">
        <v>624</v>
      </c>
      <c r="E75" s="9"/>
      <c r="F75" s="17">
        <v>6.0</v>
      </c>
      <c r="G75" s="16" t="str">
        <f>IF(F75="","",IF(F75=6,"Đúng","Chưa đúng"))</f>
        <v>Đúng</v>
      </c>
    </row>
    <row r="76" ht="18.0" customHeight="1">
      <c r="A76" s="11" t="s">
        <v>128</v>
      </c>
      <c r="B76" s="11" t="s">
        <v>402</v>
      </c>
      <c r="C76" s="11" t="s">
        <v>402</v>
      </c>
      <c r="D76" s="14" t="s">
        <v>625</v>
      </c>
      <c r="E76" s="9"/>
      <c r="F76" s="32">
        <f>IF(OR(F72="",F73=""),"",F72/(F72+F73))</f>
        <v>0.8571428571</v>
      </c>
      <c r="G76" s="16" t="str">
        <f t="shared" ref="G76:G77" si="1">IF(F76="","",IF(F76&gt;=0.9,"Đạt ngưỡng","Dưới ngưỡng"))</f>
        <v>Dưới ngưỡng</v>
      </c>
    </row>
    <row r="77" ht="18.0" customHeight="1">
      <c r="A77" s="11" t="s">
        <v>158</v>
      </c>
      <c r="B77" s="11" t="s">
        <v>402</v>
      </c>
      <c r="C77" s="11" t="s">
        <v>402</v>
      </c>
      <c r="D77" s="14" t="s">
        <v>626</v>
      </c>
      <c r="E77" s="9"/>
      <c r="F77" s="32">
        <f>IF(OR(F74="",F75=""),"",F75/(F74+F75))</f>
        <v>1</v>
      </c>
      <c r="G77" s="16" t="str">
        <f t="shared" si="1"/>
        <v>Đạt ngưỡng</v>
      </c>
    </row>
    <row r="78" ht="18.0" customHeight="1">
      <c r="A78" s="11" t="s">
        <v>161</v>
      </c>
      <c r="B78" s="11" t="s">
        <v>403</v>
      </c>
      <c r="C78" s="11" t="s">
        <v>403</v>
      </c>
      <c r="D78" s="12" t="s">
        <v>627</v>
      </c>
      <c r="E78" s="9"/>
      <c r="F78" s="33">
        <v>0.9</v>
      </c>
    </row>
    <row r="79" ht="18.0" customHeight="1">
      <c r="A79" s="11" t="s">
        <v>164</v>
      </c>
      <c r="B79" s="11" t="s">
        <v>402</v>
      </c>
      <c r="C79" s="11" t="s">
        <v>402</v>
      </c>
      <c r="D79" s="12" t="s">
        <v>628</v>
      </c>
      <c r="E79" s="9"/>
      <c r="F79" s="24">
        <f>SUM(F72:F75)</f>
        <v>20</v>
      </c>
    </row>
    <row r="80" ht="18.0" customHeight="1">
      <c r="A80" s="11" t="s">
        <v>167</v>
      </c>
      <c r="B80" s="11" t="s">
        <v>402</v>
      </c>
      <c r="C80" s="11" t="s">
        <v>402</v>
      </c>
    </row>
    <row r="81" ht="31.5" customHeight="1">
      <c r="A81" s="11" t="s">
        <v>170</v>
      </c>
      <c r="B81" s="11" t="s">
        <v>402</v>
      </c>
      <c r="C81" s="11" t="s">
        <v>403</v>
      </c>
      <c r="D81" s="12" t="s">
        <v>629</v>
      </c>
      <c r="E81" s="20"/>
      <c r="F81" s="20"/>
      <c r="G81" s="9"/>
    </row>
    <row r="82" ht="33.0" customHeight="1">
      <c r="A82" s="11" t="s">
        <v>173</v>
      </c>
      <c r="B82" s="11" t="s">
        <v>402</v>
      </c>
      <c r="C82" s="11" t="s">
        <v>402</v>
      </c>
      <c r="D82" s="12" t="s">
        <v>630</v>
      </c>
      <c r="E82" s="20"/>
      <c r="F82" s="20"/>
      <c r="G82" s="9"/>
    </row>
    <row r="83" ht="31.5" customHeight="1">
      <c r="A83" s="11" t="s">
        <v>176</v>
      </c>
      <c r="B83" s="11" t="s">
        <v>403</v>
      </c>
      <c r="C83" s="11" t="s">
        <v>403</v>
      </c>
      <c r="D83" s="12" t="s">
        <v>631</v>
      </c>
      <c r="E83" s="20"/>
      <c r="F83" s="20"/>
      <c r="G83" s="9"/>
    </row>
    <row r="84" ht="18.0" customHeight="1">
      <c r="A84" s="11" t="s">
        <v>180</v>
      </c>
      <c r="B84" s="11" t="s">
        <v>402</v>
      </c>
      <c r="C84" s="11" t="s">
        <v>402</v>
      </c>
      <c r="D84" s="14" t="s">
        <v>632</v>
      </c>
      <c r="E84" s="9"/>
      <c r="F84" s="15" t="s">
        <v>261</v>
      </c>
      <c r="G84" s="16" t="str">
        <f>IF(F84="","",IF(F84="B","Đúng","Chưa đúng"))</f>
        <v>Đúng</v>
      </c>
    </row>
    <row r="85" ht="18.0" customHeight="1">
      <c r="A85" s="11" t="s">
        <v>184</v>
      </c>
      <c r="B85" s="11" t="s">
        <v>402</v>
      </c>
      <c r="C85" s="11" t="s">
        <v>402</v>
      </c>
    </row>
    <row r="86" ht="18.0" customHeight="1">
      <c r="A86" s="11" t="s">
        <v>188</v>
      </c>
      <c r="B86" s="11" t="s">
        <v>403</v>
      </c>
      <c r="C86" s="11" t="s">
        <v>403</v>
      </c>
    </row>
    <row r="87" ht="18.0" customHeight="1">
      <c r="A87" s="11" t="s">
        <v>192</v>
      </c>
      <c r="B87" s="11" t="s">
        <v>402</v>
      </c>
      <c r="C87" s="11" t="s">
        <v>402</v>
      </c>
    </row>
    <row r="88" ht="18.0" customHeight="1">
      <c r="A88" s="11" t="s">
        <v>195</v>
      </c>
      <c r="B88" s="11" t="s">
        <v>403</v>
      </c>
      <c r="C88" s="11" t="s">
        <v>403</v>
      </c>
    </row>
    <row r="89" ht="18.0" customHeight="1">
      <c r="A89" s="11" t="s">
        <v>198</v>
      </c>
      <c r="B89" s="11" t="s">
        <v>402</v>
      </c>
      <c r="C89" s="11" t="s">
        <v>402</v>
      </c>
    </row>
    <row r="90" ht="18.0" customHeight="1">
      <c r="A90" s="11" t="s">
        <v>201</v>
      </c>
      <c r="B90" s="11" t="s">
        <v>403</v>
      </c>
      <c r="C90" s="11" t="s">
        <v>403</v>
      </c>
    </row>
    <row r="91" ht="18.0" customHeight="1">
      <c r="A91" s="11" t="s">
        <v>204</v>
      </c>
      <c r="B91" s="11" t="s">
        <v>402</v>
      </c>
      <c r="C91" s="11" t="s">
        <v>402</v>
      </c>
    </row>
    <row r="92" ht="15.75" customHeight="1"/>
    <row r="93" ht="15.75" customHeight="1"/>
    <row r="94" ht="18.0" customHeight="1">
      <c r="A94" s="22" t="s">
        <v>633</v>
      </c>
    </row>
    <row r="95" ht="18.0" customHeight="1">
      <c r="A95" s="3" t="s">
        <v>634</v>
      </c>
    </row>
    <row r="96" ht="18.0" customHeight="1">
      <c r="A96" s="8" t="s">
        <v>286</v>
      </c>
      <c r="B96" s="9"/>
      <c r="C96" s="7" t="s">
        <v>591</v>
      </c>
      <c r="D96" s="7" t="s">
        <v>592</v>
      </c>
      <c r="E96" s="7" t="s">
        <v>289</v>
      </c>
      <c r="F96" s="7" t="s">
        <v>291</v>
      </c>
    </row>
    <row r="97" ht="18.0" customHeight="1">
      <c r="A97" s="12" t="s">
        <v>292</v>
      </c>
      <c r="B97" s="9"/>
      <c r="C97" s="11" t="s">
        <v>339</v>
      </c>
      <c r="D97" s="11" t="s">
        <v>293</v>
      </c>
      <c r="E97" s="11" t="s">
        <v>295</v>
      </c>
      <c r="F97" s="11" t="s">
        <v>635</v>
      </c>
    </row>
    <row r="98" ht="18.0" customHeight="1">
      <c r="A98" s="12" t="s">
        <v>599</v>
      </c>
      <c r="B98" s="9"/>
      <c r="C98" s="11" t="s">
        <v>339</v>
      </c>
      <c r="D98" s="11" t="s">
        <v>636</v>
      </c>
      <c r="E98" s="11" t="s">
        <v>636</v>
      </c>
      <c r="F98" s="11" t="s">
        <v>636</v>
      </c>
    </row>
    <row r="99" ht="18.0" customHeight="1">
      <c r="A99" s="12" t="s">
        <v>46</v>
      </c>
      <c r="B99" s="9"/>
      <c r="C99" s="11" t="s">
        <v>339</v>
      </c>
      <c r="D99" s="11" t="s">
        <v>597</v>
      </c>
      <c r="E99" s="11" t="s">
        <v>637</v>
      </c>
      <c r="F99" s="11" t="s">
        <v>638</v>
      </c>
    </row>
    <row r="100" ht="18.0" customHeight="1">
      <c r="A100" s="12" t="s">
        <v>306</v>
      </c>
      <c r="B100" s="9"/>
      <c r="C100" s="11" t="s">
        <v>639</v>
      </c>
      <c r="D100" s="11" t="s">
        <v>640</v>
      </c>
      <c r="E100" s="11" t="s">
        <v>309</v>
      </c>
      <c r="F100" s="11" t="s">
        <v>641</v>
      </c>
    </row>
    <row r="101" ht="18.0" customHeight="1">
      <c r="A101" s="12" t="s">
        <v>642</v>
      </c>
      <c r="B101" s="9"/>
      <c r="C101" s="11" t="s">
        <v>643</v>
      </c>
      <c r="D101" s="11" t="s">
        <v>293</v>
      </c>
      <c r="E101" s="11" t="s">
        <v>644</v>
      </c>
      <c r="F101" s="11" t="s">
        <v>637</v>
      </c>
    </row>
    <row r="102" ht="18.0" customHeight="1">
      <c r="A102" s="12" t="s">
        <v>300</v>
      </c>
      <c r="B102" s="9"/>
      <c r="C102" s="11" t="s">
        <v>339</v>
      </c>
      <c r="D102" s="11" t="s">
        <v>301</v>
      </c>
      <c r="E102" s="11" t="s">
        <v>302</v>
      </c>
      <c r="F102" s="11" t="s">
        <v>645</v>
      </c>
    </row>
    <row r="103" ht="18.0" customHeight="1">
      <c r="A103" s="13" t="s">
        <v>646</v>
      </c>
    </row>
    <row r="104" ht="15.75" customHeight="1"/>
    <row r="105" ht="18.0" customHeight="1">
      <c r="A105" s="14" t="s">
        <v>647</v>
      </c>
      <c r="B105" s="9"/>
      <c r="C105" s="15" t="s">
        <v>573</v>
      </c>
      <c r="D105" s="16" t="str">
        <f>IF(C105="","",IF(C105="Phát hành","Đúng","Chưa đúng"))</f>
        <v>Đúng</v>
      </c>
    </row>
    <row r="106" ht="105.0" customHeight="1">
      <c r="A106" s="14" t="s">
        <v>648</v>
      </c>
      <c r="B106" s="9"/>
      <c r="C106" s="21" t="s">
        <v>649</v>
      </c>
      <c r="D106" s="20"/>
      <c r="E106" s="20"/>
      <c r="F106" s="20"/>
      <c r="G106" s="9"/>
    </row>
    <row r="107" ht="18.0" customHeight="1">
      <c r="C107" s="13" t="s">
        <v>650</v>
      </c>
    </row>
    <row r="108" ht="15.75" customHeight="1"/>
    <row r="109" ht="18.0" customHeight="1">
      <c r="A109" s="3" t="s">
        <v>651</v>
      </c>
    </row>
    <row r="110" ht="18.0" customHeight="1">
      <c r="A110" s="14" t="s">
        <v>652</v>
      </c>
      <c r="B110" s="9"/>
      <c r="C110" s="18">
        <v>0.75</v>
      </c>
      <c r="D110" s="16" t="str">
        <f>IF(C110="","",IF(ISNUMBER(C110),IF(OR(ABS(C110-0.75)&lt;=0.006,ABS(C110-75)&lt;=0.6),"Đúng","Chưa đúng"),"Gõ một số"))</f>
        <v>Đúng</v>
      </c>
    </row>
    <row r="111" ht="18.0" customHeight="1">
      <c r="A111" s="14" t="s">
        <v>653</v>
      </c>
      <c r="B111" s="9"/>
      <c r="C111" s="17">
        <v>50.0</v>
      </c>
      <c r="D111" s="16" t="str">
        <f>IF(C111="","",IF(ISNUMBER(C111),IF(ABS(C111-50)&lt;=0.01,"Đúng","Chưa đúng"),"Gõ một số"))</f>
        <v>Đúng</v>
      </c>
    </row>
    <row r="112" ht="33.0" customHeight="1">
      <c r="A112" s="14" t="s">
        <v>654</v>
      </c>
      <c r="B112" s="9"/>
      <c r="C112" s="18">
        <v>0.84</v>
      </c>
      <c r="D112" s="16" t="str">
        <f>IF(C112="","",IF(ISNUMBER(C112),IF(OR(ABS(C112-0.84)&lt;=0.006,ABS(C112-84)&lt;=0.6),"Đúng","Chưa đúng"),"Gõ một số"))</f>
        <v>Đúng</v>
      </c>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6">
    <mergeCell ref="B50:G50"/>
    <mergeCell ref="B51:G51"/>
    <mergeCell ref="B52:G52"/>
    <mergeCell ref="B53:G53"/>
    <mergeCell ref="D55:E55"/>
    <mergeCell ref="D56:E56"/>
    <mergeCell ref="D57:E57"/>
    <mergeCell ref="D58:E58"/>
    <mergeCell ref="A60:G60"/>
    <mergeCell ref="A61:G61"/>
    <mergeCell ref="D67:G67"/>
    <mergeCell ref="A69:G69"/>
    <mergeCell ref="A70:G70"/>
    <mergeCell ref="D71:E71"/>
    <mergeCell ref="D79:E79"/>
    <mergeCell ref="D81:G81"/>
    <mergeCell ref="D82:G82"/>
    <mergeCell ref="D83:G83"/>
    <mergeCell ref="D84:E84"/>
    <mergeCell ref="A94:G94"/>
    <mergeCell ref="A95:G95"/>
    <mergeCell ref="A102:B102"/>
    <mergeCell ref="A105:B105"/>
    <mergeCell ref="A106:B106"/>
    <mergeCell ref="C106:G106"/>
    <mergeCell ref="C107:G107"/>
    <mergeCell ref="A109:G109"/>
    <mergeCell ref="A110:B110"/>
    <mergeCell ref="A111:B111"/>
    <mergeCell ref="A112:B112"/>
    <mergeCell ref="A96:B96"/>
    <mergeCell ref="A97:B97"/>
    <mergeCell ref="A98:B98"/>
    <mergeCell ref="A99:B99"/>
    <mergeCell ref="A100:B100"/>
    <mergeCell ref="A101:B101"/>
    <mergeCell ref="A103:G103"/>
    <mergeCell ref="A2:G2"/>
    <mergeCell ref="A3:B3"/>
    <mergeCell ref="C3:G3"/>
    <mergeCell ref="A5:G5"/>
    <mergeCell ref="A6:G6"/>
    <mergeCell ref="A7:B7"/>
    <mergeCell ref="C7:F7"/>
    <mergeCell ref="A9:G9"/>
    <mergeCell ref="A10:G10"/>
    <mergeCell ref="D11:G11"/>
    <mergeCell ref="D12:G12"/>
    <mergeCell ref="D13:G13"/>
    <mergeCell ref="D14:G14"/>
    <mergeCell ref="A15:B15"/>
    <mergeCell ref="A16:B16"/>
    <mergeCell ref="A17:B17"/>
    <mergeCell ref="A18:B18"/>
    <mergeCell ref="A19:B19"/>
    <mergeCell ref="A20:B20"/>
    <mergeCell ref="A22:G22"/>
    <mergeCell ref="A23:G23"/>
    <mergeCell ref="C24:D24"/>
    <mergeCell ref="C25:D25"/>
    <mergeCell ref="C26:D26"/>
    <mergeCell ref="C27:D27"/>
    <mergeCell ref="C28:D28"/>
    <mergeCell ref="C29:D29"/>
    <mergeCell ref="C30:D30"/>
    <mergeCell ref="C31:D31"/>
    <mergeCell ref="C32:D32"/>
    <mergeCell ref="A38:G38"/>
    <mergeCell ref="A39:G39"/>
    <mergeCell ref="B40:G40"/>
    <mergeCell ref="B41:G41"/>
    <mergeCell ref="B42:G42"/>
    <mergeCell ref="B43:G43"/>
    <mergeCell ref="B44:G44"/>
    <mergeCell ref="B45:G45"/>
    <mergeCell ref="B46:G46"/>
    <mergeCell ref="B47:G47"/>
    <mergeCell ref="B48:G48"/>
    <mergeCell ref="B49:G49"/>
    <mergeCell ref="D72:E72"/>
    <mergeCell ref="D73:E73"/>
    <mergeCell ref="D74:E74"/>
    <mergeCell ref="D75:E75"/>
    <mergeCell ref="D76:E76"/>
    <mergeCell ref="D77:E77"/>
    <mergeCell ref="D78:E78"/>
  </mergeCells>
  <dataValidations>
    <dataValidation type="list" allowBlank="1" sqref="F63:F66">
      <formula1>'_ds'!$N$1:$N$4</formula1>
    </dataValidation>
    <dataValidation type="list" allowBlank="1" sqref="F84">
      <formula1>'_ds'!$B$1:$B$3</formula1>
    </dataValidation>
    <dataValidation type="list" allowBlank="1" sqref="C56:C58">
      <formula1>'_ds'!$F$1:$F$5</formula1>
    </dataValidation>
    <dataValidation type="list" allowBlank="1" sqref="C105">
      <formula1>'_ds'!$J$1:$J$3</formula1>
    </dataValidation>
    <dataValidation type="list" allowBlank="1" sqref="E25:E32">
      <formula1>'_ds'!$E$1:$E$3</formula1>
    </dataValidation>
  </dataValidations>
  <printOptions/>
  <pageMargins bottom="1.0" footer="0.0" header="0.0" left="0.75" right="0.75" top="1.0"/>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0"/>
    <col customWidth="1" min="2" max="2" width="9.0"/>
    <col customWidth="1" min="3" max="3" width="44.0"/>
    <col customWidth="1" min="4" max="4" width="38.0"/>
    <col customWidth="1" min="5" max="5" width="34.0"/>
    <col customWidth="1" min="6" max="6" width="12.0"/>
    <col customWidth="1" min="7" max="26" width="8.71"/>
  </cols>
  <sheetData>
    <row r="1">
      <c r="A1" s="1" t="s">
        <v>484</v>
      </c>
    </row>
    <row r="2" ht="18.0" customHeight="1">
      <c r="A2" s="2" t="s">
        <v>485</v>
      </c>
    </row>
    <row r="4" ht="18.0" customHeight="1">
      <c r="A4" s="7" t="s">
        <v>489</v>
      </c>
      <c r="B4" s="7" t="s">
        <v>491</v>
      </c>
      <c r="C4" s="7" t="s">
        <v>492</v>
      </c>
      <c r="D4" s="7" t="s">
        <v>494</v>
      </c>
      <c r="E4" s="7" t="s">
        <v>495</v>
      </c>
      <c r="F4" s="7" t="s">
        <v>496</v>
      </c>
    </row>
    <row r="5" ht="33.0" customHeight="1">
      <c r="A5" s="10" t="s">
        <v>498</v>
      </c>
      <c r="B5" s="26">
        <v>1.0</v>
      </c>
      <c r="C5" s="11" t="s">
        <v>500</v>
      </c>
      <c r="D5" s="11" t="s">
        <v>501</v>
      </c>
      <c r="E5" s="11" t="s">
        <v>502</v>
      </c>
      <c r="F5" s="27"/>
    </row>
    <row r="6" ht="33.0" customHeight="1">
      <c r="A6" s="10" t="s">
        <v>505</v>
      </c>
      <c r="B6" s="26">
        <v>1.0</v>
      </c>
      <c r="C6" s="11" t="s">
        <v>506</v>
      </c>
      <c r="D6" s="11" t="s">
        <v>507</v>
      </c>
      <c r="E6" s="11" t="s">
        <v>508</v>
      </c>
      <c r="F6" s="27"/>
    </row>
    <row r="7" ht="33.0" customHeight="1">
      <c r="A7" s="10" t="s">
        <v>509</v>
      </c>
      <c r="B7" s="26">
        <v>2.0</v>
      </c>
      <c r="C7" s="11" t="s">
        <v>510</v>
      </c>
      <c r="D7" s="11" t="s">
        <v>511</v>
      </c>
      <c r="E7" s="11" t="s">
        <v>512</v>
      </c>
      <c r="F7" s="27"/>
    </row>
    <row r="8" ht="33.0" customHeight="1">
      <c r="A8" s="10" t="s">
        <v>514</v>
      </c>
      <c r="B8" s="26">
        <v>1.5</v>
      </c>
      <c r="C8" s="11" t="s">
        <v>516</v>
      </c>
      <c r="D8" s="11" t="s">
        <v>517</v>
      </c>
      <c r="E8" s="11" t="s">
        <v>518</v>
      </c>
      <c r="F8" s="27"/>
    </row>
    <row r="9" ht="48.0" customHeight="1">
      <c r="A9" s="10" t="s">
        <v>519</v>
      </c>
      <c r="B9" s="26">
        <v>2.0</v>
      </c>
      <c r="C9" s="11" t="s">
        <v>520</v>
      </c>
      <c r="D9" s="11" t="s">
        <v>521</v>
      </c>
      <c r="E9" s="11" t="s">
        <v>522</v>
      </c>
      <c r="F9" s="27"/>
    </row>
    <row r="10" ht="33.0" customHeight="1">
      <c r="A10" s="10" t="s">
        <v>523</v>
      </c>
      <c r="B10" s="26">
        <v>1.0</v>
      </c>
      <c r="C10" s="11" t="s">
        <v>525</v>
      </c>
      <c r="D10" s="11" t="s">
        <v>526</v>
      </c>
      <c r="E10" s="11" t="s">
        <v>528</v>
      </c>
      <c r="F10" s="27"/>
    </row>
    <row r="11" ht="48.0" customHeight="1">
      <c r="A11" s="10" t="s">
        <v>529</v>
      </c>
      <c r="B11" s="26">
        <v>1.5</v>
      </c>
      <c r="C11" s="11" t="s">
        <v>530</v>
      </c>
      <c r="D11" s="11" t="s">
        <v>531</v>
      </c>
      <c r="E11" s="11" t="s">
        <v>532</v>
      </c>
      <c r="F11" s="27"/>
    </row>
    <row r="12" ht="18.0" customHeight="1">
      <c r="A12" s="10" t="s">
        <v>101</v>
      </c>
      <c r="B12" s="29">
        <f>SUM(B5:B11)</f>
        <v>10</v>
      </c>
      <c r="F12" s="30" t="str">
        <f>IF(COUNT(F5:F11)=0,"",SUM(F5:F11))</f>
        <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printOptions/>
  <pageMargins bottom="1.0" footer="0.0" header="0.0" left="0.75" right="0.75" top="1.0"/>
  <pageSetup fitToHeight="0"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0"/>
    <col customWidth="1" min="2" max="2" width="52.0"/>
    <col customWidth="1" min="3" max="3" width="14.0"/>
    <col customWidth="1" min="4" max="4" width="12.0"/>
    <col customWidth="1" min="5" max="26" width="8.71"/>
  </cols>
  <sheetData>
    <row r="1">
      <c r="A1" s="1" t="s">
        <v>486</v>
      </c>
    </row>
    <row r="3" ht="18.0" customHeight="1">
      <c r="A3" s="7" t="s">
        <v>490</v>
      </c>
      <c r="B3" s="7" t="s">
        <v>21</v>
      </c>
      <c r="C3" s="7" t="s">
        <v>266</v>
      </c>
      <c r="D3" s="7" t="s">
        <v>493</v>
      </c>
    </row>
    <row r="4" ht="18.0" customHeight="1">
      <c r="A4" s="10" t="s">
        <v>71</v>
      </c>
      <c r="B4" s="11" t="s">
        <v>72</v>
      </c>
      <c r="C4" s="24">
        <f>'Bài 1'!C29</f>
        <v>9</v>
      </c>
      <c r="D4" s="28">
        <v>9.0</v>
      </c>
    </row>
    <row r="5" ht="18.0" customHeight="1">
      <c r="A5" s="10" t="s">
        <v>85</v>
      </c>
      <c r="B5" s="11" t="s">
        <v>88</v>
      </c>
      <c r="C5" s="24">
        <f>'Bài 2'!C25</f>
        <v>14</v>
      </c>
      <c r="D5" s="28">
        <v>14.0</v>
      </c>
    </row>
    <row r="6" ht="18.0" customHeight="1">
      <c r="A6" s="10" t="s">
        <v>103</v>
      </c>
      <c r="B6" s="11" t="s">
        <v>104</v>
      </c>
      <c r="C6" s="24">
        <f>'Bài 3'!C39</f>
        <v>9</v>
      </c>
      <c r="D6" s="28">
        <v>9.0</v>
      </c>
    </row>
    <row r="7" ht="18.0" customHeight="1">
      <c r="A7" s="10" t="s">
        <v>112</v>
      </c>
      <c r="B7" s="11" t="s">
        <v>114</v>
      </c>
      <c r="C7" s="24">
        <f>'Bài 4'!C33</f>
        <v>15</v>
      </c>
      <c r="D7" s="28">
        <v>15.0</v>
      </c>
    </row>
    <row r="8" ht="18.0" customHeight="1">
      <c r="A8" s="10" t="s">
        <v>133</v>
      </c>
      <c r="B8" s="11" t="s">
        <v>134</v>
      </c>
      <c r="C8" s="24">
        <f>'Bài 5'!C44</f>
        <v>18</v>
      </c>
      <c r="D8" s="28">
        <v>18.0</v>
      </c>
    </row>
    <row r="10" ht="18.0" customHeight="1">
      <c r="A10" s="22" t="s">
        <v>535</v>
      </c>
    </row>
    <row r="11" ht="18.0" customHeight="1">
      <c r="A11" s="10" t="s">
        <v>498</v>
      </c>
      <c r="B11" s="11" t="s">
        <v>536</v>
      </c>
      <c r="C11" s="16" t="str">
        <f>'Xưởng'!G7</f>
        <v>Đạt</v>
      </c>
    </row>
    <row r="12" ht="18.0" customHeight="1">
      <c r="A12" s="10" t="s">
        <v>505</v>
      </c>
      <c r="B12" s="11" t="s">
        <v>537</v>
      </c>
      <c r="C12" s="16" t="str">
        <f>'Xưởng'!D20</f>
        <v>Đạt</v>
      </c>
    </row>
    <row r="13" ht="18.0" customHeight="1">
      <c r="A13" s="10" t="s">
        <v>509</v>
      </c>
      <c r="B13" s="11" t="s">
        <v>540</v>
      </c>
      <c r="C13" s="16" t="str">
        <f>'Xưởng'!C36</f>
        <v>Đạt</v>
      </c>
    </row>
    <row r="14" ht="18.0" customHeight="1">
      <c r="A14" s="10" t="s">
        <v>514</v>
      </c>
      <c r="B14" s="11" t="s">
        <v>541</v>
      </c>
      <c r="C14" s="24">
        <f>COUNTIF('Xưởng'!F56:G58,"Đúng")</f>
        <v>6</v>
      </c>
      <c r="D14" s="11" t="s">
        <v>543</v>
      </c>
    </row>
    <row r="15" ht="18.0" customHeight="1">
      <c r="A15" s="10" t="s">
        <v>519</v>
      </c>
      <c r="B15" s="11" t="s">
        <v>545</v>
      </c>
      <c r="C15" s="16" t="str">
        <f>'Xưởng'!C67</f>
        <v>Đạt</v>
      </c>
    </row>
    <row r="16" ht="18.0" customHeight="1">
      <c r="A16" s="10" t="s">
        <v>523</v>
      </c>
      <c r="B16" s="11" t="s">
        <v>547</v>
      </c>
      <c r="C16" s="24">
        <f>COUNTIF('Xưởng'!G72:G84,"Đúng")</f>
        <v>5</v>
      </c>
      <c r="D16" s="11" t="s">
        <v>548</v>
      </c>
    </row>
    <row r="17" ht="18.0" customHeight="1">
      <c r="A17" s="10" t="s">
        <v>529</v>
      </c>
      <c r="B17" s="11" t="s">
        <v>549</v>
      </c>
      <c r="C17" s="24">
        <f>COUNTIF('Xưởng'!D105:D112,"Đúng")</f>
        <v>4</v>
      </c>
      <c r="D17" s="11" t="s">
        <v>550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0:D10"/>
  </mergeCells>
  <printOptions/>
  <pageMargins bottom="1.0" footer="0.0" header="0.0" left="0.75" right="0.75" top="1.0"/>
  <pageSetup fitToHeight="0"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6" width="8.71"/>
  </cols>
  <sheetData>
    <row r="1">
      <c r="A1" s="31" t="s">
        <v>191</v>
      </c>
      <c r="B1" s="31" t="s">
        <v>394</v>
      </c>
      <c r="C1" s="31" t="s">
        <v>569</v>
      </c>
      <c r="D1" s="31" t="s">
        <v>570</v>
      </c>
      <c r="E1" s="31" t="s">
        <v>247</v>
      </c>
      <c r="F1" s="31" t="s">
        <v>111</v>
      </c>
      <c r="G1" s="31" t="s">
        <v>319</v>
      </c>
      <c r="H1" s="31" t="s">
        <v>339</v>
      </c>
      <c r="I1" s="31" t="s">
        <v>366</v>
      </c>
      <c r="J1" s="31" t="s">
        <v>573</v>
      </c>
      <c r="K1" s="31" t="s">
        <v>391</v>
      </c>
      <c r="L1" s="31" t="s">
        <v>453</v>
      </c>
      <c r="M1" s="31" t="s">
        <v>474</v>
      </c>
      <c r="N1" s="31" t="s">
        <v>339</v>
      </c>
    </row>
    <row r="2">
      <c r="A2" s="31" t="s">
        <v>98</v>
      </c>
      <c r="B2" s="31" t="s">
        <v>261</v>
      </c>
      <c r="C2" s="31" t="s">
        <v>267</v>
      </c>
      <c r="D2" s="31" t="s">
        <v>273</v>
      </c>
      <c r="E2" s="31" t="s">
        <v>253</v>
      </c>
      <c r="F2" s="31" t="s">
        <v>115</v>
      </c>
      <c r="G2" s="31" t="s">
        <v>329</v>
      </c>
      <c r="H2" s="31" t="s">
        <v>354</v>
      </c>
      <c r="I2" s="31" t="s">
        <v>372</v>
      </c>
      <c r="J2" s="31" t="s">
        <v>385</v>
      </c>
      <c r="K2" s="31" t="s">
        <v>575</v>
      </c>
      <c r="L2" s="31" t="s">
        <v>576</v>
      </c>
      <c r="M2" s="31" t="s">
        <v>466</v>
      </c>
      <c r="N2" s="31" t="s">
        <v>354</v>
      </c>
    </row>
    <row r="3">
      <c r="B3" s="31" t="s">
        <v>577</v>
      </c>
      <c r="C3" s="31" t="s">
        <v>578</v>
      </c>
      <c r="D3" s="31" t="s">
        <v>579</v>
      </c>
      <c r="E3" s="31" t="s">
        <v>258</v>
      </c>
      <c r="F3" s="31" t="s">
        <v>119</v>
      </c>
      <c r="G3" s="31" t="s">
        <v>336</v>
      </c>
      <c r="H3" s="31" t="s">
        <v>360</v>
      </c>
      <c r="I3" s="31" t="s">
        <v>375</v>
      </c>
      <c r="J3" s="31" t="s">
        <v>580</v>
      </c>
      <c r="K3" s="31" t="s">
        <v>581</v>
      </c>
      <c r="N3" s="31" t="s">
        <v>360</v>
      </c>
    </row>
    <row r="4">
      <c r="F4" s="31" t="s">
        <v>124</v>
      </c>
      <c r="N4" s="31" t="s">
        <v>582</v>
      </c>
    </row>
    <row r="5">
      <c r="F5" s="31" t="s">
        <v>129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paperSize="9" orientation="landscape"/>
  <drawing r:id="rId1"/>
</worksheet>
</file>